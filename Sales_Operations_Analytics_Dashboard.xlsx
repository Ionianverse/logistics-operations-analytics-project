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mesh\OneDrive\Desktop\"/>
    </mc:Choice>
  </mc:AlternateContent>
  <xr:revisionPtr revIDLastSave="0" documentId="13_ncr:1_{05A60C25-9FDE-471C-8E22-78AD67E50C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 Problems" sheetId="2" r:id="rId1"/>
    <sheet name="Visuals" sheetId="3" r:id="rId2"/>
    <sheet name="Final Insights" sheetId="4" r:id="rId3"/>
  </sheets>
  <calcPr calcId="162913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  <pivotCache cacheId="12" r:id="rId16"/>
    <pivotCache cacheId="13" r:id="rId17"/>
    <pivotCache cacheId="14" r:id="rId18"/>
    <pivotCache cacheId="15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c5b04a89-2f7a-44f6-95d2-4fbfd5be3001" name="customers" connection="Query - customers"/>
          <x15:modelTable id="order_items_c23d565e-1097-4290-9947-dd6139b1cb5a" name="order_items" connection="Query - order_items"/>
          <x15:modelTable id="orders_7e209c26-12a2-45d1-aeed-4fee2304a4d4" name="orders" connection="Query - orders"/>
          <x15:modelTable id="products_249ef075-e727-4de7-b083-847812a1c12d" name="products" connection="Query - products"/>
          <x15:modelTable id="shipments_c748b418-5d59-4234-8bfc-95aaa83319f0" name="shipments" connection="Query - shipments"/>
        </x15:modelTables>
        <x15:modelRelationships>
          <x15:modelRelationship fromTable="order_items" fromColumn="order_id" toTable="orders" toColumn="order_id"/>
          <x15:modelRelationship fromTable="order_items" fromColumn="product_id" toTable="products" toColumn="product_id"/>
          <x15:modelRelationship fromTable="orders" fromColumn="customer_id" toTable="customers" toColumn="customer_id"/>
          <x15:modelRelationship fromTable="shipments" fromColumn="order_id" toTable="orders" toColumn="ord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CF562C-76FE-4A42-925E-1A3DF37FC5D8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ccd39c47-83d6-442d-a86c-86f5e3bc62ac"/>
      </ext>
    </extLst>
  </connection>
  <connection id="2" xr16:uid="{DA7B9C39-1F84-4004-A0E8-CEFF6DD9BC8E}" name="Query - order_items" description="Connection to the 'order_items' query in the workbook." type="100" refreshedVersion="8" minRefreshableVersion="5">
    <extLst>
      <ext xmlns:x15="http://schemas.microsoft.com/office/spreadsheetml/2010/11/main" uri="{DE250136-89BD-433C-8126-D09CA5730AF9}">
        <x15:connection id="9db98200-0a00-47df-b4c9-2eb9dc7451b2"/>
      </ext>
    </extLst>
  </connection>
  <connection id="3" xr16:uid="{7F27B279-A9DF-42E0-8197-5E82C7ADFA35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ae59d312-3042-4e03-8cdd-b7ad961ad761"/>
      </ext>
    </extLst>
  </connection>
  <connection id="4" xr16:uid="{284C6B1A-DD16-480F-B4C6-937DAFF8F959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b0705cbb-4a8d-45c5-82f0-2dd9a348c43f"/>
      </ext>
    </extLst>
  </connection>
  <connection id="5" xr16:uid="{47F98670-DE2B-4DD7-BCF3-B37C5BC0C156}" name="Query - shipments" description="Connection to the 'shipments' query in the workbook." type="100" refreshedVersion="8" minRefreshableVersion="5">
    <extLst>
      <ext xmlns:x15="http://schemas.microsoft.com/office/spreadsheetml/2010/11/main" uri="{DE250136-89BD-433C-8126-D09CA5730AF9}">
        <x15:connection id="76c057a1-421f-4d7d-8da8-7b6e8117261b"/>
      </ext>
    </extLst>
  </connection>
  <connection id="6" xr16:uid="{FC37DE73-44A2-4C20-AD9E-69DB694129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<sst xmlns="http://schemas.openxmlformats.org/spreadsheetml/2006/main" count="167" uniqueCount="107">
  <si>
    <t>Q1. What is the total revenue from all orders?</t>
  </si>
  <si>
    <t>Total_Revenue</t>
  </si>
  <si>
    <t>Q2. What is the total revenue for each month?</t>
  </si>
  <si>
    <t>Row Labels</t>
  </si>
  <si>
    <t>2025-08</t>
  </si>
  <si>
    <t>2025-09</t>
  </si>
  <si>
    <t>2025-10</t>
  </si>
  <si>
    <t>2025-11</t>
  </si>
  <si>
    <t>2025-12</t>
  </si>
  <si>
    <t>2026-01</t>
  </si>
  <si>
    <t>Grand Total</t>
  </si>
  <si>
    <t>Insight: This KPI is used by management to evaluate business growth and set future targets.</t>
  </si>
  <si>
    <t>Insight: This trend can be used for sales forecasting and capacity planning.</t>
  </si>
  <si>
    <t>Q3. Which customers generate the most revenue?</t>
  </si>
  <si>
    <t>Q4. Which products sell the most (by quantity)?</t>
  </si>
  <si>
    <t>Printer</t>
  </si>
  <si>
    <t>Total_Quantity</t>
  </si>
  <si>
    <t>Lisa Miller</t>
  </si>
  <si>
    <t>Lisa Smith</t>
  </si>
  <si>
    <t>Robert Andersen</t>
  </si>
  <si>
    <t>Sarah Taylor</t>
  </si>
  <si>
    <t>Scott Schmidt</t>
  </si>
  <si>
    <t>Bookshelf</t>
  </si>
  <si>
    <t>Calculator</t>
  </si>
  <si>
    <t>Table</t>
  </si>
  <si>
    <t>T-Shirt</t>
  </si>
  <si>
    <t>Q5. Total Revenue by Product Category</t>
  </si>
  <si>
    <t>Calculate total revenue for each product category.</t>
  </si>
  <si>
    <t>Clothing</t>
  </si>
  <si>
    <t>Electronics</t>
  </si>
  <si>
    <t>Furniture</t>
  </si>
  <si>
    <t>Office</t>
  </si>
  <si>
    <t>Insights: This shows how revenue is distributed across product categories, helping identify which segments drive the business and where to focus investment or improvement.</t>
  </si>
  <si>
    <t>2025</t>
  </si>
  <si>
    <t>Qtr3</t>
  </si>
  <si>
    <t>Aug</t>
  </si>
  <si>
    <t>Sep</t>
  </si>
  <si>
    <t>Qtr4</t>
  </si>
  <si>
    <t>Oct</t>
  </si>
  <si>
    <t>Nov</t>
  </si>
  <si>
    <t>Dec</t>
  </si>
  <si>
    <t>2026</t>
  </si>
  <si>
    <t>Jan</t>
  </si>
  <si>
    <t>Q6. What is the average delivery time (in days)?</t>
  </si>
  <si>
    <t>Average of Delivery_Days</t>
  </si>
  <si>
    <t>Insight: This metric shows how long orders take to reach customers on average, helping evaluate logistics efficiency and identify improvement opportunities.</t>
  </si>
  <si>
    <t>Q7. What percentage of deliveries are late (more than 3 days)?</t>
  </si>
  <si>
    <t>Late_%</t>
  </si>
  <si>
    <t>Insight: This shows how many deliveries miss the expected timeline, helping assess logistics reliability and service quality.</t>
  </si>
  <si>
    <t>Q8. How many orders are in each order status?</t>
  </si>
  <si>
    <t>Cancelled</t>
  </si>
  <si>
    <t>Completed</t>
  </si>
  <si>
    <t>Pending</t>
  </si>
  <si>
    <t>Count of order_id</t>
  </si>
  <si>
    <t>Avg Delivery Days</t>
  </si>
  <si>
    <t>Insight: This KPI reveals whether sales growth is supported by efficient operations. Rising revenue with increasing delivery time signals capacity risk, while stable delivery time with higher sales shows operational scalability.</t>
  </si>
  <si>
    <t>Insight: This shows how orders are distributed across different statuses, helping monitor fulfillment flow and identify bottlenecks.</t>
  </si>
  <si>
    <t>Month</t>
  </si>
  <si>
    <t>Q9. Show monthly revenue along with average delivery time.</t>
  </si>
  <si>
    <t>Insight: Most revenue comes from a limited set of customers, making customer retention a critical business priority.</t>
  </si>
  <si>
    <t>Insight: Revenue peaks in December, indicating strong seasonal demand and supporting sales planning.</t>
  </si>
  <si>
    <t>2. Which product categories generate the most revenue?</t>
  </si>
  <si>
    <t>Sum of revenue</t>
  </si>
  <si>
    <t>3. Which customers generate the most revenue?</t>
  </si>
  <si>
    <t>Product Category</t>
  </si>
  <si>
    <t>Customer Name</t>
  </si>
  <si>
    <t>Insight: Revenue is concentrated among a small number of customers, highlighting the importance of retaining key accounts to maintain overall business performance.</t>
  </si>
  <si>
    <t>1. How total revenue changes month by month?</t>
  </si>
  <si>
    <t>4. Which products generate the most revenue?</t>
  </si>
  <si>
    <t>Laptop</t>
  </si>
  <si>
    <t>Monitor</t>
  </si>
  <si>
    <r>
      <t>Insight:</t>
    </r>
    <r>
      <rPr>
        <sz val="12"/>
        <color theme="1"/>
        <rFont val="Calibri"/>
        <family val="2"/>
        <scheme val="minor"/>
      </rPr>
      <t xml:space="preserve"> Electronics generates the highest revenue, making it the primary business driver, while Office and Clothing contribute significantly less.</t>
    </r>
  </si>
  <si>
    <r>
      <t>Insight: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2" tint="-0.749992370372631"/>
        <rFont val="Calibri"/>
        <family val="2"/>
        <scheme val="minor"/>
      </rPr>
      <t>Revenue is heavily driven by a few key products, with printers and laptops contributing the most, highlighting priority products for sales focus and inventory planning</t>
    </r>
    <r>
      <rPr>
        <sz val="12"/>
        <color theme="1"/>
        <rFont val="Calibri"/>
        <family val="2"/>
        <scheme val="minor"/>
      </rPr>
      <t>.</t>
    </r>
  </si>
  <si>
    <t>5. What is the distribution of orders by status?</t>
  </si>
  <si>
    <t>Product Name</t>
  </si>
  <si>
    <t>Insight: Only 35% of orders are completed, while a high proportion remain cancelled or pending, indicating operational inefficiencies and potential revenue loss that require process and logistics improvement.</t>
  </si>
  <si>
    <t>6. What is the average delivery time?</t>
  </si>
  <si>
    <t>Insight: The average delivery time is slightly above the target, indicating moderate logistics performance with opportunities for further efficiency improvement.</t>
  </si>
  <si>
    <t>Average Delivery Time (Days)</t>
  </si>
  <si>
    <t>Target Delivery Time (Days)</t>
  </si>
  <si>
    <t>Delivery Performance Status</t>
  </si>
  <si>
    <t>7. What percentage of deliveries are late?</t>
  </si>
  <si>
    <t>Measures</t>
  </si>
  <si>
    <t>Late Delivery Rate</t>
  </si>
  <si>
    <t>Insight: A significant percentage of deliveries are late, indicating logistics inefficiencies and the need to improve delivery speed and operational performance.</t>
  </si>
  <si>
    <t>8. How does revenue relate to delivery time over months?</t>
  </si>
  <si>
    <t>Insights: Revenue peaks in December alongside higher delivery times, suggesting strong demand periods may strain logistics performance and require capacity planning.</t>
  </si>
  <si>
    <t>9. How does late delivery rate change month by month?</t>
  </si>
  <si>
    <t>Insight: Late delivery rate showed fluctuation between 63% and 73%. Although there was improvement toward early 2026, the overall late delivery rate remains high, indicating opportunity to optimize logistics and delivery processes.</t>
  </si>
  <si>
    <t>EXECUTIVE SUMMARY</t>
  </si>
  <si>
    <r>
      <rPr>
        <b/>
        <sz val="11"/>
        <color theme="1"/>
        <rFont val="Calibri"/>
        <family val="2"/>
        <scheme val="minor"/>
      </rPr>
      <t>Total Revenue:</t>
    </r>
    <r>
      <rPr>
        <sz val="11"/>
        <color theme="1"/>
        <rFont val="Calibri"/>
        <family val="2"/>
        <scheme val="minor"/>
      </rPr>
      <t xml:space="preserve"> ₹ 8,98,03,777</t>
    </r>
  </si>
  <si>
    <r>
      <rPr>
        <b/>
        <sz val="11"/>
        <color theme="1"/>
        <rFont val="Calibri"/>
        <family val="2"/>
        <scheme val="minor"/>
      </rPr>
      <t>Total Orders:</t>
    </r>
    <r>
      <rPr>
        <sz val="11"/>
        <color theme="1"/>
        <rFont val="Calibri"/>
        <family val="2"/>
        <scheme val="minor"/>
      </rPr>
      <t xml:space="preserve"> 750</t>
    </r>
  </si>
  <si>
    <r>
      <rPr>
        <b/>
        <sz val="11"/>
        <color theme="1"/>
        <rFont val="Calibri"/>
        <family val="2"/>
        <scheme val="minor"/>
      </rPr>
      <t>Late Delivery %:</t>
    </r>
    <r>
      <rPr>
        <sz val="11"/>
        <color theme="1"/>
        <rFont val="Calibri"/>
        <family val="2"/>
        <scheme val="minor"/>
      </rPr>
      <t xml:space="preserve"> 69.53</t>
    </r>
  </si>
  <si>
    <r>
      <rPr>
        <b/>
        <sz val="11"/>
        <color theme="1"/>
        <rFont val="Calibri"/>
        <family val="2"/>
        <scheme val="minor"/>
      </rPr>
      <t>Avg Delivery Days:</t>
    </r>
    <r>
      <rPr>
        <sz val="11"/>
        <color theme="1"/>
        <rFont val="Calibri"/>
        <family val="2"/>
        <scheme val="minor"/>
      </rPr>
      <t xml:space="preserve"> 4.57</t>
    </r>
  </si>
  <si>
    <t>Order status</t>
  </si>
  <si>
    <t>SALES &amp; OPERATIONS ANALYTICS — FINAL CONCLUSION</t>
  </si>
  <si>
    <t>1. Revenue Performance</t>
  </si>
  <si>
    <t>The business generated total revenue of ₹89.8M. Revenue shows seasonal variation, with peak performance in certain months indicating strong demand periods.</t>
  </si>
  <si>
    <t>2. Customer Analysis</t>
  </si>
  <si>
    <t>A small group of customers contributes significantly to overall revenue, highlighting the importance of key customer relationships.</t>
  </si>
  <si>
    <t>3. Product Performance</t>
  </si>
  <si>
    <t>Certain products dominate revenue contribution, suggesting focus areas for inventory and marketing optimization.</t>
  </si>
  <si>
    <t>4. Delivery Performance</t>
  </si>
  <si>
    <t>Late delivery percentage shows operational inefficiencies that can be improved to enhance customer satisfaction.</t>
  </si>
  <si>
    <t>5. Operational Recommendation</t>
  </si>
  <si>
    <t>Improving delivery efficiency and focusing on high-performing products and customers can significantly improve overall business performance.</t>
  </si>
  <si>
    <t>Final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</si>
</sst>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#,##0\ \-&quot;₹&quot;;&quot;₹&quot;\ #,##0"/>
    <numFmt numFmtId="165" formatCode="&quot;₹&quot;\ #,##0"/>
  </numFmts>
  <fonts count="11" x14ac:knownFonts="1">
    <font>
      <sz val="11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2"/>
      <color rgb="FF403936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  <xf numFmtId="10" fontId="0" fillId="0" borderId="0" xfId="0" applyNumberFormat="1"/>
    <xf numFmtId="164" fontId="4" fillId="2" borderId="2" xfId="0" applyNumberFormat="1" applyFont="1" applyFill="1" applyBorder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5" fontId="0" fillId="0" borderId="0" xfId="0" applyNumberFormat="1"/>
    <xf numFmtId="0" fontId="4" fillId="2" borderId="3" xfId="0" applyFont="1" applyFill="1" applyBorder="1"/>
    <xf numFmtId="164" fontId="1" fillId="0" borderId="0" xfId="0" applyNumberFormat="1" applyFont="1"/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2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0" fontId="9" fillId="0" borderId="0" xfId="0" applyNumberFormat="1" applyFont="1"/>
    <xf numFmtId="2" fontId="4" fillId="2" borderId="2" xfId="0" applyNumberFormat="1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0" fillId="3" borderId="4" xfId="0" applyFont="1" applyFill="1" applyBorder="1"/>
  </cellXfs>
  <cellStyles count="1">
    <cellStyle name="Normal" xfId="0" builtinId="0"/>
  </cellStyles>
  <dxfs count="35">
    <dxf>
      <numFmt numFmtId="165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ont>
        <sz val="12"/>
      </font>
    </dxf>
    <dxf>
      <alignment vertical="center"/>
    </dxf>
    <dxf>
      <alignment horizontal="center"/>
    </dxf>
    <dxf>
      <font>
        <b/>
      </font>
    </dxf>
    <dxf>
      <font>
        <sz val="32"/>
      </font>
    </dxf>
    <dxf>
      <numFmt numFmtId="165" formatCode="&quot;₹&quot;\ #,##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5" formatCode="&quot;₹&quot;\ 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font>
        <sz val="32"/>
      </font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font>
        <color theme="9" tint="-0.49998474074526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mruColors>
      <color rgb="FFF9A825"/>
      <color rgb="FFD32F2F"/>
      <color rgb="FF2E7D32"/>
      <color rgb="FF40393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2.xml"/><Relationship Id="rId21" Type="http://schemas.openxmlformats.org/officeDocument/2006/relationships/connections" Target="connections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63" Type="http://schemas.openxmlformats.org/officeDocument/2006/relationships/customXml" Target="../customXml/item39.xml"/><Relationship Id="rId68" Type="http://schemas.openxmlformats.org/officeDocument/2006/relationships/customXml" Target="../customXml/item4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8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66" Type="http://schemas.openxmlformats.org/officeDocument/2006/relationships/customXml" Target="../customXml/item42.xml"/><Relationship Id="rId74" Type="http://schemas.openxmlformats.org/officeDocument/2006/relationships/customXml" Target="../customXml/item50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37.xml"/><Relationship Id="rId19" Type="http://schemas.openxmlformats.org/officeDocument/2006/relationships/pivotCacheDefinition" Target="pivotCache/pivotCacheDefinition16.xml"/><Relationship Id="rId14" Type="http://schemas.openxmlformats.org/officeDocument/2006/relationships/pivotCacheDefinition" Target="pivotCache/pivotCacheDefinition11.xml"/><Relationship Id="rId22" Type="http://schemas.openxmlformats.org/officeDocument/2006/relationships/styles" Target="style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64" Type="http://schemas.openxmlformats.org/officeDocument/2006/relationships/customXml" Target="../customXml/item40.xml"/><Relationship Id="rId69" Type="http://schemas.openxmlformats.org/officeDocument/2006/relationships/customXml" Target="../customXml/item45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7.xml"/><Relationship Id="rId72" Type="http://schemas.openxmlformats.org/officeDocument/2006/relationships/customXml" Target="../customXml/item4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67" Type="http://schemas.openxmlformats.org/officeDocument/2006/relationships/customXml" Target="../customXml/item43.xml"/><Relationship Id="rId20" Type="http://schemas.openxmlformats.org/officeDocument/2006/relationships/theme" Target="theme/theme1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62" Type="http://schemas.openxmlformats.org/officeDocument/2006/relationships/customXml" Target="../customXml/item38.xml"/><Relationship Id="rId70" Type="http://schemas.openxmlformats.org/officeDocument/2006/relationships/customXml" Target="../customXml/item46.xml"/><Relationship Id="rId75" Type="http://schemas.openxmlformats.org/officeDocument/2006/relationships/customXml" Target="../customXml/item5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Relationship Id="rId65" Type="http://schemas.openxmlformats.org/officeDocument/2006/relationships/customXml" Target="../customXml/item41.xml"/><Relationship Id="rId73" Type="http://schemas.openxmlformats.org/officeDocument/2006/relationships/customXml" Target="../customXml/item49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39" Type="http://schemas.openxmlformats.org/officeDocument/2006/relationships/customXml" Target="../customXml/item15.xml"/><Relationship Id="rId34" Type="http://schemas.openxmlformats.org/officeDocument/2006/relationships/customXml" Target="../customXml/item10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4.xml"/><Relationship Id="rId71" Type="http://schemas.openxmlformats.org/officeDocument/2006/relationships/customXml" Target="../customXml/item4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Monthly Revenue Trend (Sales Performance)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Visuals!$B$5:$B$10</c:f>
              <c:strCache>
                <c:ptCount val="6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</c:strCache>
            </c:strRef>
          </c:cat>
          <c:val>
            <c:numRef>
              <c:f>Visuals!$C$5:$C$10</c:f>
              <c:numCache>
                <c:formatCode>"₹"\ #,##0;#,##0\ \-"₹";"₹"\ #,##0</c:formatCode>
                <c:ptCount val="6"/>
                <c:pt idx="0">
                  <c:v>14975803</c:v>
                </c:pt>
                <c:pt idx="1">
                  <c:v>13031178</c:v>
                </c:pt>
                <c:pt idx="2">
                  <c:v>16859060</c:v>
                </c:pt>
                <c:pt idx="3">
                  <c:v>13309357</c:v>
                </c:pt>
                <c:pt idx="4">
                  <c:v>18174543</c:v>
                </c:pt>
                <c:pt idx="5">
                  <c:v>13453836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5-4D7E-86B3-DFFEC0A947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6983887"/>
        <c:axId val="266984367"/>
      </c:lineChart>
      <c:catAx>
        <c:axId val="26698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Month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84367"/>
        <c:crosses val="autoZero"/>
        <c:auto val="1"/>
        <c:lblAlgn val="ctr"/>
        <c:lblOffset val="100"/>
        <c:noMultiLvlLbl val="0"/>
      </c:catAx>
      <c:valAx>
        <c:axId val="266984367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Total Revenue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" sourceLinked="0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8388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Visuals!$B$24:$B$28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Office</c:v>
                </c:pt>
              </c:strCache>
            </c:strRef>
          </c:cat>
          <c:val>
            <c:numRef>
              <c:f>Visuals!$C$24:$C$28</c:f>
              <c:numCache>
                <c:formatCode>"₹"\ #,##0</c:formatCode>
                <c:ptCount val="4"/>
                <c:pt idx="0">
                  <c:v>58197735</c:v>
                </c:pt>
                <c:pt idx="1">
                  <c:v>24708039</c:v>
                </c:pt>
                <c:pt idx="2">
                  <c:v>4549782</c:v>
                </c:pt>
                <c:pt idx="3">
                  <c:v>2348221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4-488C-9B88-34AC6A5190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7"/>
        <c:axId val="1787699104"/>
        <c:axId val="1787692864"/>
      </c:barChart>
      <c:catAx>
        <c:axId val="17876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92864"/>
        <c:crosses val="autoZero"/>
        <c:auto val="1"/>
        <c:lblAlgn val="ctr"/>
        <c:lblOffset val="100"/>
        <c:noMultiLvlLbl val="0"/>
      </c:catAx>
      <c:valAx>
        <c:axId val="17876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69910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Visuals!$C$41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Visuals!$B$42:$B$47</c:f>
              <c:strCache>
                <c:ptCount val="5"/>
                <c:pt idx="0">
                  <c:v>Robert Andersen</c:v>
                </c:pt>
                <c:pt idx="1">
                  <c:v>Sarah Taylor</c:v>
                </c:pt>
                <c:pt idx="2">
                  <c:v>Lisa Miller</c:v>
                </c:pt>
                <c:pt idx="3">
                  <c:v>Lisa Smith</c:v>
                </c:pt>
                <c:pt idx="4">
                  <c:v>Scott Schmidt</c:v>
                </c:pt>
              </c:strCache>
            </c:strRef>
          </c:cat>
          <c:val>
            <c:numRef>
              <c:f>Visuals!$C$42:$C$47</c:f>
              <c:numCache>
                <c:formatCode>"₹"\ #,##0</c:formatCode>
                <c:ptCount val="5"/>
                <c:pt idx="0">
                  <c:v>1801158</c:v>
                </c:pt>
                <c:pt idx="1">
                  <c:v>1774529</c:v>
                </c:pt>
                <c:pt idx="2">
                  <c:v>1468730</c:v>
                </c:pt>
                <c:pt idx="3">
                  <c:v>1430740</c:v>
                </c:pt>
                <c:pt idx="4">
                  <c:v>1363431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7-48DB-94E7-B41763AAE8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87723104"/>
        <c:axId val="1787713984"/>
      </c:barChart>
      <c:catAx>
        <c:axId val="17877231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13984"/>
        <c:crosses val="autoZero"/>
        <c:auto val="1"/>
        <c:lblAlgn val="ctr"/>
        <c:lblOffset val="100"/>
        <c:noMultiLvlLbl val="0"/>
      </c:catAx>
      <c:valAx>
        <c:axId val="17877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23104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5 Products by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Visuals!$C$60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Visuals!$B$61:$B$66</c:f>
              <c:strCache>
                <c:ptCount val="5"/>
                <c:pt idx="0">
                  <c:v>Printer</c:v>
                </c:pt>
                <c:pt idx="1">
                  <c:v>Laptop</c:v>
                </c:pt>
                <c:pt idx="2">
                  <c:v>Monitor</c:v>
                </c:pt>
                <c:pt idx="3">
                  <c:v>Table</c:v>
                </c:pt>
                <c:pt idx="4">
                  <c:v>Bookshelf</c:v>
                </c:pt>
              </c:strCache>
            </c:strRef>
          </c:cat>
          <c:val>
            <c:numRef>
              <c:f>Visuals!$C$61:$C$66</c:f>
              <c:numCache>
                <c:formatCode>"₹"\ #,##0</c:formatCode>
                <c:ptCount val="5"/>
                <c:pt idx="0">
                  <c:v>19805991</c:v>
                </c:pt>
                <c:pt idx="1">
                  <c:v>11999250</c:v>
                </c:pt>
                <c:pt idx="2">
                  <c:v>11471672</c:v>
                </c:pt>
                <c:pt idx="3">
                  <c:v>8073053</c:v>
                </c:pt>
                <c:pt idx="4">
                  <c:v>6906953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E-4AF4-8124-E606253CE6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70319488"/>
        <c:axId val="470317568"/>
      </c:barChart>
      <c:catAx>
        <c:axId val="4703194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17568"/>
        <c:crosses val="autoZero"/>
        <c:auto val="1"/>
        <c:lblAlgn val="ctr"/>
        <c:lblOffset val="100"/>
        <c:noMultiLvlLbl val="0"/>
      </c:catAx>
      <c:valAx>
        <c:axId val="47031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19488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Revenue vs Delivery Time Trend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345327026429389"/>
          <c:y val="0.19028006589785831"/>
          <c:w val="0.77295987040081537"/>
          <c:h val="0.565879697492508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Visuals!$C$116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Visuals!$B$117:$B$122</c:f>
              <c:strCache>
                <c:ptCount val="6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</c:strCache>
            </c:strRef>
          </c:cat>
          <c:val>
            <c:numRef>
              <c:f>Visuals!$C$117:$C$122</c:f>
              <c:numCache>
                <c:formatCode>"₹"\ #,##0;#,##0\ \-"₹";"₹"\ #,##0</c:formatCode>
                <c:ptCount val="6"/>
                <c:pt idx="0">
                  <c:v>14975803</c:v>
                </c:pt>
                <c:pt idx="1">
                  <c:v>13031178</c:v>
                </c:pt>
                <c:pt idx="2">
                  <c:v>16859060</c:v>
                </c:pt>
                <c:pt idx="3">
                  <c:v>13309357</c:v>
                </c:pt>
                <c:pt idx="4">
                  <c:v>18174543</c:v>
                </c:pt>
                <c:pt idx="5">
                  <c:v>13453836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6-4738-9F72-BB9651F7D9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50"/>
        <c:axId val="1239858112"/>
        <c:axId val="1239855232"/>
      </c:barChart>
      <c:lineChart>
        <c:grouping val="standard"/>
        <c:varyColors val="0"/>
        <c:ser>
          <c:idx val="1"/>
          <c:order val="1"/>
          <c:tx>
            <c:strRef>
              <c:f>Visuals!$D$116</c:f>
              <c:strCache>
                <c:ptCount val="1"/>
                <c:pt idx="0">
                  <c:v>Avg Delivery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Visuals!$B$117:$B$122</c:f>
              <c:strCache>
                <c:ptCount val="6"/>
                <c:pt idx="0">
                  <c:v>Aug</c:v>
                </c:pt>
                <c:pt idx="1">
                  <c:v>Sep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</c:strCache>
            </c:strRef>
          </c:cat>
          <c:val>
            <c:numRef>
              <c:f>Visuals!$D$117:$D$122</c:f>
              <c:numCache>
                <c:formatCode>0.00</c:formatCode>
                <c:ptCount val="6"/>
                <c:pt idx="0">
                  <c:v>4.5777777777777775</c:v>
                </c:pt>
                <c:pt idx="1">
                  <c:v>4.416666666666667</c:v>
                </c:pt>
                <c:pt idx="2">
                  <c:v>4.8680555555555554</c:v>
                </c:pt>
                <c:pt idx="3">
                  <c:v>4.4545454545454541</c:v>
                </c:pt>
                <c:pt idx="4">
                  <c:v>4.666666666666667</c:v>
                </c:pt>
                <c:pt idx="5">
                  <c:v>4.4137931034482758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6-4738-9F72-BB9651F7D9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9822592"/>
        <c:axId val="1239836992"/>
      </c:lineChart>
      <c:catAx>
        <c:axId val="123985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Delivery Time Trend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55232"/>
        <c:crosses val="autoZero"/>
        <c:auto val="1"/>
        <c:lblAlgn val="ctr"/>
        <c:lblOffset val="100"/>
        <c:noMultiLvlLbl val="0"/>
      </c:catAx>
      <c:valAx>
        <c:axId val="1239855232"/>
        <c:scaling>
          <c:orientation val="minMax"/>
        </c:scaling>
        <c:delete val="0"/>
        <c:axPos val="l"/>
        <c:majorGridlines>
          <c:spPr>
            <a:ln w="5715" cap="flat" cmpd="sng" algn="ctr">
              <a:solidFill>
                <a:schemeClr val="tx1">
                  <a:lumMod val="15000"/>
                  <a:lumOff val="85000"/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Revenue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0084556738100043E-2"/>
              <c:y val="0.38156676049760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;#,##0\ \-&quot;₹&quot;;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5811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0084556738100043E-2"/>
                <c:y val="0.1738056013179571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23983699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22592"/>
        <c:crosses val="max"/>
        <c:crossBetween val="between"/>
      </c:valAx>
      <c:catAx>
        <c:axId val="1239822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9836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/>
              <a:t>Late Delivery Performance Trend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Visuals!$C$135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Visuals!$B$136:$B$143</c:f>
              <c:multiLvlStrCache>
                <c:ptCount val="6"/>
                <c:lvl>
                  <c:pt idx="0">
                    <c:v>Aug</c:v>
                  </c:pt>
                  <c:pt idx="1">
                    <c:v>Sep</c:v>
                  </c:pt>
                  <c:pt idx="2">
                    <c:v>Oct</c:v>
                  </c:pt>
                  <c:pt idx="3">
                    <c:v>Nov</c:v>
                  </c:pt>
                  <c:pt idx="4">
                    <c:v>Dec</c:v>
                  </c:pt>
                </c:lvl>
                <c:lvl>
                  <c:pt idx="0">
                    <c:v>2025</c:v>
                  </c:pt>
                  <c:pt idx="5">
                    <c:v>2026</c:v>
                  </c:pt>
                </c:lvl>
              </c:multiLvlStrCache>
            </c:multiLvlStrRef>
          </c:cat>
          <c:val>
            <c:numRef>
              <c:f>Visuals!$C$136:$C$143</c:f>
              <c:numCache>
                <c:formatCode>0.00%</c:formatCode>
                <c:ptCount val="6"/>
                <c:pt idx="0">
                  <c:v>0.72592592592592597</c:v>
                </c:pt>
                <c:pt idx="1">
                  <c:v>0.6742424242424242</c:v>
                </c:pt>
                <c:pt idx="2">
                  <c:v>0.75694444444444442</c:v>
                </c:pt>
                <c:pt idx="3">
                  <c:v>0.6742424242424242</c:v>
                </c:pt>
                <c:pt idx="4">
                  <c:v>0.70987654320987659</c:v>
                </c:pt>
                <c:pt idx="5">
                  <c:v>0.62758620689655176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0-44F9-801B-5BE4ECF6D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443136"/>
        <c:axId val="1407456576"/>
      </c:lineChart>
      <c:catAx>
        <c:axId val="14074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56576"/>
        <c:crosses val="autoZero"/>
        <c:auto val="1"/>
        <c:lblAlgn val="ctr"/>
        <c:lblOffset val="100"/>
        <c:noMultiLvlLbl val="0"/>
      </c:catAx>
      <c:valAx>
        <c:axId val="14074565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44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[Sales_Operations_Analytics_Dashboard.xlsx.xlsx]Visuals!PivotTable4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2E7D3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3456304170613465"/>
                  <c:h val="0.20140889428400574"/>
                </c:manualLayout>
              </c15:layout>
            </c:ext>
          </c:extLst>
        </c:dLbl>
      </c:pivotFmt>
      <c:pivotFmt>
        <c:idx val="2"/>
        <c:spPr>
          <a:solidFill>
            <a:srgbClr val="D32F2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9A82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Visuals!$C$78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E7D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49-4257-AEAD-331223B82120}"/>
              </c:ext>
            </c:extLst>
          </c:dPt>
          <c:dPt>
            <c:idx val="1"/>
            <c:bubble3D val="0"/>
            <c:spPr>
              <a:solidFill>
                <a:srgbClr val="D32F2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49-4257-AEAD-331223B82120}"/>
              </c:ext>
            </c:extLst>
          </c:dPt>
          <c:dPt>
            <c:idx val="2"/>
            <c:bubble3D val="0"/>
            <c:spPr>
              <a:solidFill>
                <a:srgbClr val="F9A8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C49-4257-AEAD-331223B82120}"/>
              </c:ext>
            </c:extLst>
          </c:dPt>
          <c:dLbls>
            <c:dLbl>
              <c:idx val="0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56304170613465"/>
                      <c:h val="0.201408894284005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C49-4257-AEAD-331223B8212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Visuals!$B$79:$B$82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Visuals!$C$79:$C$82</c:f>
              <c:numCache>
                <c:formatCode>General</c:formatCode>
                <c:ptCount val="3"/>
                <c:pt idx="0">
                  <c:v>268</c:v>
                </c:pt>
                <c:pt idx="1">
                  <c:v>228</c:v>
                </c:pt>
                <c:pt idx="2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9-4257-AEAD-331223B82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412377</xdr:colOff>
      <xdr:row>2</xdr:row>
      <xdr:rowOff>138280</xdr:rowOff>
    </xdr:from>
    <xdr:to>
      <xdr:col>8</xdr:col>
      <xdr:colOff>1075765</xdr:colOff>
      <xdr:row>15</xdr:row>
      <xdr:rowOff>161364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329925-4349-0FC1-0710-EEC42DB08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495300</xdr:colOff>
      <xdr:row>22</xdr:row>
      <xdr:rowOff>64770</xdr:rowOff>
    </xdr:from>
    <xdr:to>
      <xdr:col>8</xdr:col>
      <xdr:colOff>1059180</xdr:colOff>
      <xdr:row>34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5EBD75-4A9A-3B3E-8B30-1F258A6A7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40</xdr:row>
      <xdr:rowOff>26670</xdr:rowOff>
    </xdr:from>
    <xdr:to>
      <xdr:col>8</xdr:col>
      <xdr:colOff>205740</xdr:colOff>
      <xdr:row>52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9948A8-041F-2636-7142-FAA7ECF47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525780</xdr:colOff>
      <xdr:row>59</xdr:row>
      <xdr:rowOff>19050</xdr:rowOff>
    </xdr:from>
    <xdr:to>
      <xdr:col>8</xdr:col>
      <xdr:colOff>281940</xdr:colOff>
      <xdr:row>70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B9F2BC-C7CF-FC69-2DCC-C50BC2FB7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350520</xdr:colOff>
      <xdr:row>115</xdr:row>
      <xdr:rowOff>57150</xdr:rowOff>
    </xdr:from>
    <xdr:to>
      <xdr:col>8</xdr:col>
      <xdr:colOff>1173480</xdr:colOff>
      <xdr:row>127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8A1B7A-330E-5DC9-0D9F-F259C1FE8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207397</xdr:colOff>
      <xdr:row>134</xdr:row>
      <xdr:rowOff>27995</xdr:rowOff>
    </xdr:from>
    <xdr:to>
      <xdr:col>8</xdr:col>
      <xdr:colOff>642730</xdr:colOff>
      <xdr:row>144</xdr:row>
      <xdr:rowOff>66261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F8D18C-AF2A-79AA-E13C-5E08A524F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139147</xdr:colOff>
      <xdr:row>76</xdr:row>
      <xdr:rowOff>76200</xdr:rowOff>
    </xdr:from>
    <xdr:to>
      <xdr:col>7</xdr:col>
      <xdr:colOff>324679</xdr:colOff>
      <xdr:row>88</xdr:row>
      <xdr:rowOff>139148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0707D0-37DC-6405-F4B5-85F4B4BD0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4351852" backgroundQuery="1" createdVersion="8" refreshedVersion="8" minRefreshableVersion="3" recordCount="0" supportSubquery="1" supportAdvancedDrill="1" xr:uid="{87CE5F0D-C82D-479F-BE8E-218EEE302BF1}">
  <cacheSource type="external" connectionId="6"/>
  <cacheFields count="6">
    <cacheField name="[Measures].[Total_Revenue]" caption="Total_Revenue" numFmtId="0" hierarchy="44" level="32767"/>
    <cacheField name="[orders].[order_date].[order_date]" caption="order_date" numFmtId="0" hierarchy="12" level="1">
      <sharedItems containsSemiMixedTypes="0" containsNonDate="0" containsDate="1" containsString="0" minDate="2025-08-02T00:00:00" maxDate="2025-09-01T00:00:00" count="30"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</sharedItems>
    </cacheField>
    <cacheField name="[orders].[order_date (Month)].[order_date (Month)]" caption="order_date (Month)" numFmtId="0" hierarchy="19" level="1">
      <sharedItems count="2">
        <s v="Aug"/>
        <s v="Sep"/>
      </sharedItems>
    </cacheField>
    <cacheField name="[orders].[order_date (Quarter)].[order_date (Quarter)]" caption="order_date (Quarter)" numFmtId="0" hierarchy="18" level="1">
      <sharedItems count="2">
        <s v="Qtr3"/>
        <s v="Qtr4"/>
      </sharedItems>
    </cacheField>
    <cacheField name="[orders].[order_date (Year)].[order_date (Year)]" caption="order_date (Year)" numFmtId="0" hierarchy="17" level="1">
      <sharedItems count="2">
        <s v="2025"/>
        <s v="2026"/>
      </sharedItems>
    </cacheField>
    <cacheField name="[Measures].[Avg Delivery Days]" caption="Avg Delivery Days" numFmtId="0" hierarchy="52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1"/>
      </fieldsUsage>
    </cacheHierarchy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0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 oneField="1">
      <fieldsUsage count="1">
        <fieldUsage x="5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45833337" backgroundQuery="1" createdVersion="8" refreshedVersion="8" minRefreshableVersion="3" recordCount="0" supportSubquery="1" supportAdvancedDrill="1" xr:uid="{489300C4-7B0A-4555-85A8-9C64C2913DF4}">
  <cacheSource type="external" connectionId="6"/>
  <cacheFields count="2">
    <cacheField name="[orders].[order_status].[order_status]" caption="order_status" numFmtId="0" hierarchy="14" level="1">
      <sharedItems count="3">
        <s v="Cancelled"/>
        <s v="Completed"/>
        <s v="Pending"/>
      </sharedItems>
    </cacheField>
    <cacheField name="[Measures].[Count of order_id]" caption="Count of order_id" numFmtId="0" hierarchy="37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48611108" backgroundQuery="1" createdVersion="8" refreshedVersion="8" minRefreshableVersion="3" recordCount="0" supportSubquery="1" supportAdvancedDrill="1" xr:uid="{1889A8B3-FA0F-4D19-800E-B693DD7B39A2}">
  <cacheSource type="external" connectionId="6"/>
  <cacheFields count="2">
    <cacheField name="[Measures].[Total_Revenue]" caption="Total_Revenue" numFmtId="0" hierarchy="44" level="32767"/>
    <cacheField name="[customers].[customer_name].[customer_name]" caption="customer_name" numFmtId="0" hierarchy="1" level="1">
      <sharedItems count="5">
        <s v="Lisa Miller"/>
        <s v="Lisa Smith"/>
        <s v="Robert Andersen"/>
        <s v="Sarah Taylor"/>
        <s v="Scott Schmidt"/>
      </sharedItems>
    </cacheField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0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50578702" backgroundQuery="1" createdVersion="8" refreshedVersion="8" minRefreshableVersion="3" recordCount="0" supportSubquery="1" supportAdvancedDrill="1" xr:uid="{5723E4A3-6A66-44D9-A5FD-ADE25728EFC1}">
  <cacheSource type="external" connectionId="6"/>
  <cacheFields count="1">
    <cacheField name="[Measures].[Late_%]" caption="Late_%" numFmtId="0" hierarchy="46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 oneField="1">
      <fieldsUsage count="1">
        <fieldUsage x="0"/>
      </fieldsUsage>
    </cacheHierarchy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53472219" backgroundQuery="1" createdVersion="8" refreshedVersion="8" minRefreshableVersion="3" recordCount="0" supportSubquery="1" supportAdvancedDrill="1" xr:uid="{AEDCE220-E381-4EC1-B11F-4D195121F361}">
  <cacheSource type="external" connectionId="6"/>
  <cacheFields count="2">
    <cacheField name="[products].[category].[category]" caption="category" numFmtId="0" hierarchy="24" level="1">
      <sharedItems count="4">
        <s v="Clothing"/>
        <s v="Electronics"/>
        <s v="Furniture"/>
        <s v="Office"/>
      </sharedItems>
    </cacheField>
    <cacheField name="[Measures].[Total_Revenue]" caption="Total_Revenue" numFmtId="0" hierarchy="44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1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56249998" backgroundQuery="1" createdVersion="8" refreshedVersion="8" minRefreshableVersion="3" recordCount="0" supportSubquery="1" supportAdvancedDrill="1" xr:uid="{5CCC83BB-FCE8-4C34-ADCB-403B778BA3A7}">
  <cacheSource type="external" connectionId="6"/>
  <cacheFields count="2">
    <cacheField name="[products].[product_name].[product_name]" caption="product_name" numFmtId="0" hierarchy="23" level="1">
      <sharedItems count="5">
        <s v="Bookshelf"/>
        <s v="Calculator"/>
        <s v="Printer"/>
        <s v="Table"/>
        <s v="T-Shirt"/>
      </sharedItems>
    </cacheField>
    <cacheField name="[Measures].[Total_Quantity]" caption="Total_Quantity" numFmtId="0" hierarchy="45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 oneField="1">
      <fieldsUsage count="1">
        <fieldUsage x="1"/>
      </fieldsUsage>
    </cacheHierarchy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58217592" backgroundQuery="1" createdVersion="8" refreshedVersion="8" minRefreshableVersion="3" recordCount="0" supportSubquery="1" supportAdvancedDrill="1" xr:uid="{FB4D99BE-7B24-42A8-9EDA-F8D2CD6A1DD8}">
  <cacheSource type="external" connectionId="6"/>
  <cacheFields count="1">
    <cacheField name="[Measures].[Average of Delivery_Days]" caption="Average of Delivery_Days" numFmtId="0" hierarchy="35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60532408" backgroundQuery="1" createdVersion="8" refreshedVersion="8" minRefreshableVersion="3" recordCount="0" supportSubquery="1" supportAdvancedDrill="1" xr:uid="{192C9021-CDD3-44C9-B184-C5EEDB749C83}">
  <cacheSource type="external" connectionId="6"/>
  <cacheFields count="2">
    <cacheField name="[orders].[Order_Month].[Order_Month]" caption="Order_Month" numFmtId="0" hierarchy="16" level="1">
      <sharedItems count="6">
        <s v="2025-08"/>
        <s v="2025-09"/>
        <s v="2025-10"/>
        <s v="2025-11"/>
        <s v="2025-12"/>
        <s v="2026-01"/>
      </sharedItems>
    </cacheField>
    <cacheField name="[Measures].[Total_Revenue]" caption="Total_Revenue" numFmtId="0" hierarchy="44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1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62615741" backgroundQuery="1" createdVersion="8" refreshedVersion="8" minRefreshableVersion="3" recordCount="0" supportSubquery="1" supportAdvancedDrill="1" xr:uid="{961E8862-A4B5-4BCC-A1BD-58782E24E941}">
  <cacheSource type="external" connectionId="6"/>
  <cacheFields count="1">
    <cacheField name="[Measures].[Total_Revenue]" caption="Total_Revenue" numFmtId="0" hierarchy="44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 oneField="1">
      <fieldsUsage count="1">
        <fieldUsage x="0"/>
      </fieldsUsage>
    </cacheHierarchy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65624997" backgroundQuery="1" createdVersion="8" refreshedVersion="8" minRefreshableVersion="3" recordCount="0" supportSubquery="1" supportAdvancedDrill="1" xr:uid="{51A4DD54-5062-4ACA-8656-34162CC4BA1C}">
  <cacheSource type="external" connectionId="6"/>
  <cacheFields count="4">
    <cacheField name="[orders].[order_date].[order_date]" caption="order_date" numFmtId="0" hierarchy="12" level="1">
      <sharedItems containsSemiMixedTypes="0" containsNonDate="0" containsDate="1" containsString="0" minDate="2025-12-01T00:00:00" maxDate="2026-01-01T00:00:00" count="31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[orders].[order_date (Month)].[order_date (Month)]" caption="order_date (Month)" numFmtId="0" hierarchy="19" level="1">
      <sharedItems count="5">
        <s v="Aug"/>
        <s v="Sep"/>
        <s v="Oct"/>
        <s v="Nov"/>
        <s v="Dec"/>
      </sharedItems>
    </cacheField>
    <cacheField name="[orders].[order_date (Year)].[order_date (Year)]" caption="order_date (Year)" numFmtId="0" hierarchy="17" level="1">
      <sharedItems count="2">
        <s v="2025"/>
        <s v="2026"/>
      </sharedItems>
    </cacheField>
    <cacheField name="[Measures].[Late_%]" caption="Late_%" numFmtId="0" hierarchy="46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 oneField="1">
      <fieldsUsage count="1">
        <fieldUsage x="3"/>
      </fieldsUsage>
    </cacheHierarchy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68402775" backgroundQuery="1" createdVersion="8" refreshedVersion="8" minRefreshableVersion="3" recordCount="0" supportSubquery="1" supportAdvancedDrill="1" xr:uid="{9A45F7A9-FCEC-4760-B6BC-8B285069409F}">
  <cacheSource type="external" connectionId="6"/>
  <cacheFields count="1">
    <cacheField name="[Measures].[Late_%]" caption="Late_%" numFmtId="0" hierarchy="46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 oneField="1">
      <fieldsUsage count="1">
        <fieldUsage x="0"/>
      </fieldsUsage>
    </cacheHierarchy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71064815" backgroundQuery="1" createdVersion="8" refreshedVersion="8" minRefreshableVersion="3" recordCount="0" supportSubquery="1" supportAdvancedDrill="1" xr:uid="{762BECAE-EF9E-4556-8903-9C36D92A7F4C}">
  <cacheSource type="external" connectionId="6"/>
  <cacheFields count="3">
    <cacheField name="[Measures].[Avg Delivery Days]" caption="Avg Delivery Days" numFmtId="0" hierarchy="52" level="32767"/>
    <cacheField name="[Measures].[_Avg Delivery Days Goal]" caption="_Avg Delivery Days Goal" numFmtId="0" hierarchy="59" level="32767"/>
    <cacheField name="[Measures].[_Avg Delivery Days Status]" caption="_Avg Delivery Days Status" numFmtId="0" hierarchy="60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 oneField="1">
      <fieldsUsage count="1">
        <fieldUsage x="0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oneField="1" hidden="1">
      <fieldsUsage count="1">
        <fieldUsage x="1"/>
      </fieldsUsage>
    </cacheHierarchy>
    <cacheHierarchy uniqueName="[Measures].[_Avg Delivery Days Status]" caption="_Avg Delivery Days Status" measure="1" iconSet="6" displayFolder="" measureGroup="shipments" count="0" oneField="1" hidden="1">
      <fieldsUsage count="1">
        <fieldUsage x="2"/>
      </fieldsUsage>
    </cacheHierarchy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74074071" backgroundQuery="1" createdVersion="8" refreshedVersion="8" minRefreshableVersion="3" recordCount="0" supportSubquery="1" supportAdvancedDrill="1" xr:uid="{2AA73C24-5EB4-42DD-B79F-69DF2C0E1532}">
  <cacheSource type="external" connectionId="6"/>
  <cacheFields count="2">
    <cacheField name="[customers].[customer_name].[customer_name]" caption="customer_name" numFmtId="0" hierarchy="1" level="1">
      <sharedItems count="5">
        <s v="Lisa Miller"/>
        <s v="Lisa Smith"/>
        <s v="Robert Andersen"/>
        <s v="Sarah Taylor"/>
        <s v="Scott Schmidt"/>
      </sharedItems>
    </cacheField>
    <cacheField name="[Measures].[Sum of revenue]" caption="Sum of revenue" numFmtId="0" hierarchy="40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76736111" backgroundQuery="1" createdVersion="8" refreshedVersion="8" minRefreshableVersion="3" recordCount="0" supportSubquery="1" supportAdvancedDrill="1" xr:uid="{380CCCAB-4534-406E-8DB9-4349AF51CEC7}">
  <cacheSource type="external" connectionId="6"/>
  <cacheFields count="2">
    <cacheField name="[products].[category].[category]" caption="category" numFmtId="0" hierarchy="24" level="1">
      <sharedItems count="4">
        <s v="Clothing"/>
        <s v="Electronics"/>
        <s v="Furniture"/>
        <s v="Office"/>
      </sharedItems>
    </cacheField>
    <cacheField name="[Measures].[Sum of revenue]" caption="Sum of revenue" numFmtId="0" hierarchy="40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82986108" backgroundQuery="1" createdVersion="8" refreshedVersion="8" minRefreshableVersion="3" recordCount="0" supportSubquery="1" supportAdvancedDrill="1" xr:uid="{E7E2BC86-CFCC-42FE-A268-3B7EDEEB3C2F}">
  <cacheSource type="external" connectionId="6"/>
  <cacheFields count="2">
    <cacheField name="[products].[product_name].[product_name]" caption="product_name" numFmtId="0" hierarchy="23" level="1">
      <sharedItems count="5">
        <s v="Bookshelf"/>
        <s v="Laptop"/>
        <s v="Monitor"/>
        <s v="Printer"/>
        <s v="Table"/>
      </sharedItems>
    </cacheField>
    <cacheField name="[Measures].[Sum of revenue]" caption="Sum of revenue" numFmtId="0" hierarchy="40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esh Zampadiya" refreshedDate="46078.635745833337" backgroundQuery="1" createdVersion="8" refreshedVersion="8" minRefreshableVersion="3" recordCount="0" supportSubquery="1" supportAdvancedDrill="1" xr:uid="{905F3107-313D-4C0B-B5C7-BC337222DD6B}">
  <cacheSource type="external" connectionId="6"/>
  <cacheFields count="2">
    <cacheField name="[orders].[order_status].[order_status]" caption="order_status" numFmtId="0" hierarchy="14" level="1">
      <sharedItems count="3">
        <s v="Cancelled"/>
        <s v="Completed"/>
        <s v="Pending"/>
      </sharedItems>
    </cacheField>
    <cacheField name="[Measures].[Count of order_id]" caption="Count of order_id" numFmtId="0" hierarchy="37" level="32767"/>
  </cacheFields>
  <cacheHierarchies count="6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5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ales_rep]" caption="sales_rep" attribute="1" defaultMemberUniqueName="[orders].[sales_rep].[All]" allUniqueName="[orders].[sales_rep].[All]" dimensionUniqueName="[orders]" displayFolder="" count="0" memberValueDatatype="130" unbalanced="0"/>
    <cacheHierarchy uniqueName="[orders].[Order_Month]" caption="Order_Month" attribute="1" defaultMemberUniqueName="[orders].[Order_Month].[All]" allUniqueName="[orders].[Order_Month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Month_No]" caption="Month_No" attribute="1" defaultMemberUniqueName="[orders].[Month_No].[All]" allUniqueName="[orders].[Month_No].[All]" dimensionUniqueName="[orders]" displayFolder="" count="0" memberValueDatatype="20" unbalanced="0"/>
    <cacheHierarchy uniqueName="[orders].[Month_Name]" caption="Month_Name" attribute="1" defaultMemberUniqueName="[orders].[Month_Name].[All]" allUniqueName="[orders].[Month_Name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20" unbalanced="0"/>
    <cacheHierarchy uniqueName="[shipments].[order_id]" caption="order_id" attribute="1" defaultMemberUniqueName="[shipments].[order_id].[All]" allUniqueName="[shipments].[order_id].[All]" dimensionUniqueName="[shipments]" displayFolder="" count="0" memberValueDatatype="20" unbalanced="0"/>
    <cacheHierarchy uniqueName="[shipments].[ship_date]" caption="ship_date" attribute="1" time="1" defaultMemberUniqueName="[shipments].[ship_date].[All]" allUniqueName="[shipments].[ship_date].[All]" dimensionUniqueName="[shipments]" displayFolder="" count="0" memberValueDatatype="7" unbalanced="0"/>
    <cacheHierarchy uniqueName="[shipments].[delivery_date]" caption="delivery_date" attribute="1" time="1" defaultMemberUniqueName="[shipments].[delivery_date].[All]" allUniqueName="[shipments].[delivery_date].[All]" dimensionUniqueName="[shipments]" displayFolder="" count="0" memberValueDatatype="7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ivery_Days]" caption="Delivery_Days" attribute="1" defaultMemberUniqueName="[shipments].[Delivery_Days].[All]" allUniqueName="[shipments].[Delivery_Days].[All]" dimensionUniqueName="[shipments]" displayFolder="" count="0" memberValueDatatype="20" unbalanced="0"/>
    <cacheHierarchy uniqueName="[shipments].[Late_Delivery]" caption="Late_Delivery" attribute="1" defaultMemberUniqueName="[shipments].[Late_Delivery].[All]" allUniqueName="[shipments].[Late_Delivery].[All]" dimensionUniqueName="[shipmen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Sum of Delivery_Days]" caption="Sum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Delivery_Days]" caption="Average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]" caption="Sum of order_id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rder_id]" caption="Count of order_id" measure="1" displayFolder="" measureGroup="order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Delivery_Days]" caption="Count of Delivery_Days" measure="1" displayFolder="" measureGroup="shipment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order_id 2]" caption="Sum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order_item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_id 2]" caption="Count of order_id 2" measure="1" displayFolder="" measureGroup="order_item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Late_Delivery]" caption="Sum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Late_Delivery]" caption="Average of Late_Delivery" measure="1" displayFolder="" measureGroup="shipment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Total_Revenue]" caption="Total_Revenue" measure="1" displayFolder="" measureGroup="order_items" count="0"/>
    <cacheHierarchy uniqueName="[Measures].[Total_Quantity]" caption="Total_Quantity" measure="1" displayFolder="" measureGroup="order_items" count="0"/>
    <cacheHierarchy uniqueName="[Measures].[Late_%]" caption="Late_%" measure="1" displayFolder="" measureGroup="shipments" count="0"/>
    <cacheHierarchy uniqueName="[Measures].[Max_Delay]" caption="Max_Delay" measure="1" displayFolder="" measureGroup="shipments" count="0"/>
    <cacheHierarchy uniqueName="[Measures].[Sum of order_id 3]" caption="Sum of order_id 3" measure="1" displayFolder="" measureGroup="shipments" count="0"/>
    <cacheHierarchy uniqueName="[Measures].[Late Orders]" caption="Late Orders" measure="1" displayFolder="" measureGroup="customers" count="0"/>
    <cacheHierarchy uniqueName="[Measures].[Total Orders]" caption="Total Orders" measure="1" displayFolder="" measureGroup="customers" count="0"/>
    <cacheHierarchy uniqueName="[Measures].[Late_Delivery_%]" caption="Late_Delivery_%" measure="1" displayFolder="" measureGroup="customers" count="0"/>
    <cacheHierarchy uniqueName="[Measures].[Avg Delivery Days]" caption="Avg Delivery Days" measure="1" displayFolder="" measureGroup="shipment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hipments]" caption="__XL_Count shipments" measure="1" displayFolder="" measureGroup="shipments" count="0" hidden="1"/>
    <cacheHierarchy uniqueName="[Measures].[__No measures defined]" caption="__No measures defined" measure="1" displayFolder="" count="0" hidden="1"/>
    <cacheHierarchy uniqueName="[Measures].[_Avg Delivery Days Goal]" caption="_Avg Delivery Days Goal" measure="1" displayFolder="" measureGroup="shipments" count="0" hidden="1"/>
    <cacheHierarchy uniqueName="[Measures].[_Avg Delivery Days Status]" caption="_Avg Delivery Days Status" measure="1" iconSet="6" displayFolder="" measureGroup="shipments" count="0" hidden="1"/>
  </cacheHierarchies>
  <kpis count="1">
    <kpi uniqueName="Avg Delivery Days" caption="Avg Delivery Days" displayFolder="" measureGroup="shipments" parent="" value="[Measures].[Avg Delivery Days]" goal="[Measures].[_Avg Delivery Days Goal]" status="[Measures].[_Avg Delivery Days Status]" trend="" weight=""/>
  </kpis>
  <dimensions count="6"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shipments" uniqueName="[shipments]" caption="shipments"/>
  </dimensions>
  <measureGroups count="5">
    <measureGroup name="customers" caption="customers"/>
    <measureGroup name="order_items" caption="order_items"/>
    <measureGroup name="orders" caption="orders"/>
    <measureGroup name="products" caption="products"/>
    <measureGroup name="shipments" caption="shipments"/>
  </measureGroups>
  <maps count="11">
    <map measureGroup="0" dimension="0"/>
    <map measureGroup="1" dimension="0"/>
    <map measureGroup="1" dimension="2"/>
    <map measureGroup="1" dimension="3"/>
    <map measureGroup="1" dimension="4"/>
    <map measureGroup="2" dimension="0"/>
    <map measureGroup="2" dimension="3"/>
    <map measureGroup="3" dimension="4"/>
    <map measureGroup="4" dimension="0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E6E4A-C2B7-434D-A7ED-75192F0A6CEF}" name="PivotTable13" cacheId="0" applyNumberFormats="0" applyBorderFormats="0" applyFontFormats="0" applyPatternFormats="0" applyAlignmentFormats="0" applyWidthHeightFormats="1" dataCaption="Values" tag="2f41bf01-7fc7-43dc-9b3a-100b249fcb5f" updatedVersion="8" minRefreshableVersion="3" useAutoFormatting="1" itemPrintTitles="1" createdVersion="8" indent="0" outline="1" outlineData="1" multipleFieldFilters="0">
  <location ref="B100:D107" firstHeaderRow="0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axis="axisRow" allDrilled="1" subtotalTop="0" showAll="0" dataSourceSort="1" defaultSubtotal="0">
      <items count="2">
        <item x="0"/>
        <item x="1" e="0"/>
      </items>
    </pivotField>
    <pivotField axis="axisRow" allDrilled="1" subtotalTop="0" showAll="0" dataSourceSort="1" defaultSubtotal="0">
      <items count="2">
        <item x="0"/>
        <item x="1" e="0"/>
      </items>
    </pivotField>
    <pivotField dataField="1" subtotalTop="0" showAll="0" defaultSubtotal="0"/>
  </pivotFields>
  <rowFields count="4">
    <field x="4"/>
    <field x="3"/>
    <field x="2"/>
    <field x="1"/>
  </rowFields>
  <rowItems count="7">
    <i>
      <x/>
    </i>
    <i r="1">
      <x/>
    </i>
    <i r="2">
      <x/>
    </i>
    <i r="2">
      <x v="1"/>
    </i>
    <i r="1">
      <x v="1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5" subtotal="count" baseField="0" baseItem="0"/>
  </dataFields>
  <formats count="1">
    <format dxfId="27">
      <pivotArea dataOnly="0" outline="0" fieldPosition="0">
        <references count="1">
          <reference field="4294967294" count="1">
            <x v="1"/>
          </reference>
        </references>
      </pivotArea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4">
    <rowHierarchyUsage hierarchyUsage="17"/>
    <rowHierarchyUsage hierarchyUsage="18"/>
    <rowHierarchyUsage hierarchyUsage="19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  <x15:activeTabTopLevelEntity name="[orders]"/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A8936-03BE-4D02-AE5B-66ED18E81205}" name="PivotTable10" cacheId="1" applyNumberFormats="0" applyBorderFormats="0" applyFontFormats="0" applyPatternFormats="0" applyAlignmentFormats="0" applyWidthHeightFormats="1" dataCaption="Values" tag="518760f9-20b9-4ae3-9f24-55b80560a532" updatedVersion="8" minRefreshableVersion="3" useAutoFormatting="1" subtotalHiddenItems="1" itemPrintTitles="1" createdVersion="8" indent="0" outline="1" outlineData="1" multipleFieldFilters="0">
  <location ref="B89:C93" firstHeaderRow="1" firstDataRow="1" firstDataCol="1"/>
  <pivotFields count="2">
    <pivotField axis="axisRow" allDrilled="1" subtotalTop="0" showAll="0" defaultSubtotal="0" defaultAttributeDrillState="1">
      <items count="3">
        <item x="1"/>
        <item x="2"/>
        <item x="0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316DF-1BBC-4408-B7B0-5A2CF79871AE}" name="PivotTable9" cacheId="3" applyNumberFormats="0" applyBorderFormats="0" applyFontFormats="0" applyPatternFormats="0" applyAlignmentFormats="0" applyWidthHeightFormats="1" dataCaption="Values" tag="5e0c7e96-f09f-4d8d-aefc-64e57914fe34" updatedVersion="8" minRefreshableVersion="3" useAutoFormatting="1" subtotalHiddenItems="1" itemPrintTitles="1" createdVersion="8" indent="0" outline="1" outlineData="1" multipleFieldFilters="0">
  <location ref="B81:B8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1">
    <format dxfId="28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FA960-A0A5-48A4-802C-682D1F803501}" name="PivotTable8" cacheId="6" applyNumberFormats="0" applyBorderFormats="0" applyFontFormats="0" applyPatternFormats="0" applyAlignmentFormats="0" applyWidthHeightFormats="1" dataCaption="Values" tag="3f6ce233-5024-4a22-9e93-aca13e00bc4f" updatedVersion="8" minRefreshableVersion="3" useAutoFormatting="1" subtotalHiddenItems="1" itemPrintTitles="1" createdVersion="8" indent="0" outline="1" outlineData="1" multipleFieldFilters="0">
  <location ref="B73:B7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Delivery_Days" fld="0" subtotal="average" baseField="0" baseItem="0" numFmtId="2"/>
  </dataFields>
  <formats count="1">
    <format dxfId="29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ivery_Day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71BB9-A95E-4ECE-A948-7CD21FA8A9B7}" name="PivotTable6" cacheId="4" applyNumberFormats="0" applyBorderFormats="0" applyFontFormats="0" applyPatternFormats="0" applyAlignmentFormats="0" applyWidthHeightFormats="1" dataCaption="Values" tag="b66735b9-7137-4096-abb0-11771c4a004e" updatedVersion="8" minRefreshableVersion="3" useAutoFormatting="1" subtotalHiddenItems="1" itemPrintTitles="1" createdVersion="8" indent="0" outline="1" outlineData="1" multipleFieldFilters="0">
  <location ref="B61:C66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09765-5C9F-4B4D-9A1E-1954C6CC8457}" name="PivotTable5" cacheId="5" applyNumberFormats="0" applyBorderFormats="0" applyFontFormats="0" applyPatternFormats="0" applyAlignmentFormats="0" applyWidthHeightFormats="1" dataCaption="Values" tag="81f1dbbc-345e-4a16-94b5-c55404ac40b0" updatedVersion="8" minRefreshableVersion="3" useAutoFormatting="1" subtotalHiddenItems="1" itemPrintTitles="1" createdVersion="8" indent="0" outline="1" outlineData="1" multipleFieldFilters="0">
  <location ref="B49:C55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45">
      <autoFilter ref="A1">
        <filterColumn colId="0">
          <top10 val="5" filterVal="5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6796B-8791-4CED-8E11-F091E6CD5F6F}" name="PivotTable3" cacheId="2" applyNumberFormats="0" applyBorderFormats="0" applyFontFormats="0" applyPatternFormats="0" applyAlignmentFormats="0" applyWidthHeightFormats="1" dataCaption="Values" tag="48a9d81e-b0e1-4088-bb60-ad0146000054" updatedVersion="8" minRefreshableVersion="3" useAutoFormatting="1" subtotalHiddenItems="1" itemPrintTitles="1" createdVersion="8" indent="0" outline="1" outlineData="1" multipleFieldFilters="0">
  <location ref="B36:C42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count" id="2" iMeasureHier="44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891CD-8AD1-46D5-A062-38849BD06172}" name="PivotTable2" cacheId="7" applyNumberFormats="0" applyBorderFormats="0" applyFontFormats="0" applyPatternFormats="0" applyAlignmentFormats="0" applyWidthHeightFormats="1" dataCaption="Values" tag="03877929-0378-4d20-87a6-62b82fe0c3b7" updatedVersion="8" minRefreshableVersion="3" useAutoFormatting="1" subtotalHiddenItems="1" itemPrintTitles="1" createdVersion="8" indent="0" outline="1" outlineData="1" multipleFieldFilters="0">
  <location ref="B21:C28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38FBD-8B40-4A0C-A020-BBB0E288A575}" name="PivotTable1" cacheId="8" applyNumberFormats="0" applyBorderFormats="0" applyFontFormats="0" applyPatternFormats="0" applyAlignmentFormats="0" applyWidthHeightFormats="1" dataCaption="Values" tag="a47b5977-3b14-47bc-a2a3-e33758ecee58" updatedVersion="8" minRefreshableVersion="3" useAutoFormatting="1" subtotalHiddenItems="1" itemPrintTitles="1" createdVersion="8" indent="0" outline="1" outlineData="1" multipleFieldFilters="0">
  <location ref="B13:B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5"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dataOnly="0" labelOnly="1" outline="0" axis="axisValues" fieldPosition="0"/>
    </format>
    <format dxfId="30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C176F-7866-47D2-9002-9057F318EDDF}" name="PivotTable3" cacheId="14" applyNumberFormats="0" applyBorderFormats="0" applyFontFormats="0" applyPatternFormats="0" applyAlignmentFormats="0" applyWidthHeightFormats="1" dataCaption="Values" tag="4b12c857-f79d-45e6-8213-6ebdcb998357" updatedVersion="8" minRefreshableVersion="3" useAutoFormatting="1" itemPrintTitles="1" createdVersion="8" indent="0" outline="1" outlineData="1" multipleFieldFilters="0" chartFormat="1" rowHeaderCaption="Product Name">
  <location ref="B60:C66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Sum of revenue" fld="1" baseField="0" baseItem="0" numFmtId="165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D227D-2B27-4F1B-B0BB-7AA36BBD640C}" name="PivotTable5" cacheId="11" dataOnRows="1" applyNumberFormats="0" applyBorderFormats="0" applyFontFormats="0" applyPatternFormats="0" applyAlignmentFormats="0" applyWidthHeightFormats="1" dataCaption="Measures" tag="6993c88c-79b8-4868-9390-dae2eb538520" updatedVersion="8" minRefreshableVersion="3" useAutoFormatting="1" subtotalHiddenItems="1" itemPrintTitles="1" createdVersion="8" indent="0" outline="1" outlineData="1" multipleFieldFilters="0">
  <location ref="B97:C100" firstHeaderRow="1" firstDataRow="1" firstDataCol="1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Average Delivery Time (Days)" fld="0" subtotal="count" baseField="0" baseItem="0" numFmtId="2"/>
    <dataField name="Target Delivery Time (Days)" fld="1" subtotal="count" baseField="0" baseItem="0"/>
    <dataField name="Delivery Performance Status" fld="2" subtotal="count" baseField="0" baseItem="0"/>
  </dataFields>
  <formats count="11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-2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dataOnly="0" labelOnly="1" grandCol="1" outline="0" axis="axisCol" fieldPosition="0"/>
    </format>
  </format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Average Delivery Time (Days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47B7D-5F5A-45EC-A8C3-0A7D5369D945}" name="PivotTable4" cacheId="15" applyNumberFormats="0" applyBorderFormats="0" applyFontFormats="0" applyPatternFormats="0" applyAlignmentFormats="0" applyWidthHeightFormats="1" dataCaption="Values" tag="9252dd9d-cabc-4ddb-a66b-4ee819a0b74d" updatedVersion="8" minRefreshableVersion="3" useAutoFormatting="1" subtotalHiddenItems="1" itemPrintTitles="1" createdVersion="8" indent="0" outline="1" outlineData="1" multipleFieldFilters="0" chartFormat="2" rowHeaderCaption="Order status">
  <location ref="B78:C82" firstHeaderRow="1" firstDataRow="1" firstDataCol="1"/>
  <pivotFields count="2">
    <pivotField axis="axisRow" allDrilled="1" subtotalTop="0" showAll="0" defaultSubtotal="0" defaultAttributeDrillState="1">
      <items count="3">
        <item x="1"/>
        <item x="2"/>
        <item x="0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4A921-DF67-450D-9D36-C22E0CB4523F}" name="PivotTable1" cacheId="13" applyNumberFormats="0" applyBorderFormats="0" applyFontFormats="0" applyPatternFormats="0" applyAlignmentFormats="0" applyWidthHeightFormats="1" dataCaption="Values" tag="d9d00d66-8b01-4f9c-bbd3-5da414bf28c0" updatedVersion="8" minRefreshableVersion="3" useAutoFormatting="1" subtotalHiddenItems="1" itemPrintTitles="1" createdVersion="8" indent="0" outline="1" outlineData="1" multipleFieldFilters="0" chartFormat="3" rowHeaderCaption="Product Category">
  <location ref="B23:C2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revenue" fld="1" baseField="0" baseItem="0" numFmtId="165"/>
  </dataFields>
  <formats count="4">
    <format dxfId="15">
      <pivotArea collapsedLevelsAreSubtotals="1" fieldPosition="0">
        <references count="1">
          <reference field="0" count="1">
            <x v="1"/>
          </reference>
        </references>
      </pivotArea>
    </format>
    <format dxfId="14">
      <pivotArea collapsedLevelsAreSubtotals="1" fieldPosition="0">
        <references count="1">
          <reference field="0" count="3">
            <x v="0"/>
            <x v="2"/>
            <x v="3"/>
          </reference>
        </references>
      </pivotArea>
    </format>
    <format dxfId="13">
      <pivotArea grandRow="1" outline="0" collapsedLevelsAreSubtotals="1" fieldPosition="0"/>
    </format>
    <format dxfId="1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0B292-906B-4668-8CF0-1F62A1AB72D0}" name="PivotTable2" cacheId="12" applyNumberFormats="0" applyBorderFormats="0" applyFontFormats="0" applyPatternFormats="0" applyAlignmentFormats="0" applyWidthHeightFormats="1" dataCaption="Values" tag="7abe9423-a5ec-40f6-8294-b9ced5af8219" updatedVersion="8" minRefreshableVersion="3" useAutoFormatting="1" itemPrintTitles="1" createdVersion="8" indent="0" outline="1" outlineData="1" multipleFieldFilters="0" chartFormat="1" rowHeaderCaption="Customer Name">
  <location ref="B41:C47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revenue" fld="1" baseField="0" baseItem="0" numFmtId="165"/>
  </dataFields>
  <formats count="1">
    <format dxfId="1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10C34-5702-47E9-B69D-5C718DC346D7}" name="PivotTable18" cacheId="9" applyNumberFormats="0" applyBorderFormats="0" applyFontFormats="0" applyPatternFormats="0" applyAlignmentFormats="0" applyWidthHeightFormats="1" dataCaption="Values" tag="0f37f91d-feee-4188-beb3-5c0386148360" updatedVersion="8" minRefreshableVersion="3" useAutoFormatting="1" subtotalHiddenItems="1" itemPrintTitles="1" createdVersion="8" indent="0" outline="1" outlineData="1" multipleFieldFilters="0" chartFormat="2">
  <location ref="B135:C143" firstHeaderRow="1" firstDataRow="1" firstDataCol="1"/>
  <pivotFields count="4"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5">
        <item x="0" e="0"/>
        <item x="1" e="0"/>
        <item x="2" e="0"/>
        <item x="3" e="0"/>
        <item x="4" e="0"/>
      </items>
    </pivotField>
    <pivotField axis="axisRow" allDrilled="1" subtotalTop="0" showAll="0" dataSourceSort="1" defaultSubtotal="0">
      <items count="2">
        <item x="0"/>
        <item x="1" e="0"/>
      </items>
    </pivotField>
    <pivotField dataField="1" subtotalTop="0" showAll="0" defaultSubtotal="0"/>
  </pivotFields>
  <rowFields count="3">
    <field x="2"/>
    <field x="1"/>
    <field x="0"/>
  </rowFields>
  <rowItems count="8">
    <i>
      <x/>
    </i>
    <i r="1">
      <x/>
    </i>
    <i r="1">
      <x v="1"/>
    </i>
    <i r="1">
      <x v="2"/>
    </i>
    <i r="1">
      <x v="3"/>
    </i>
    <i r="1">
      <x v="4"/>
    </i>
    <i>
      <x v="1"/>
    </i>
    <i t="grand">
      <x/>
    </i>
  </rowItems>
  <colItems count="1">
    <i/>
  </colItems>
  <dataFields count="1">
    <dataField fld="3" subtotal="count" baseField="0" baseItem="0"/>
  </dataFields>
  <formats count="7">
    <format dxfId="23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22">
      <pivotArea collapsedLevelsAreSubtotals="1" fieldPosition="0">
        <references count="2">
          <reference field="1" count="1">
            <x v="1"/>
          </reference>
          <reference field="2" count="1" selected="0">
            <x v="0"/>
          </reference>
        </references>
      </pivotArea>
    </format>
    <format dxfId="21">
      <pivotArea collapsedLevelsAreSubtotals="1" fieldPosition="0">
        <references count="2">
          <reference field="1" count="1">
            <x v="2"/>
          </reference>
          <reference field="2" count="1" selected="0">
            <x v="0"/>
          </reference>
        </references>
      </pivotArea>
    </format>
    <format dxfId="20">
      <pivotArea collapsedLevelsAreSubtotals="1" fieldPosition="0">
        <references count="2">
          <reference field="1" count="1">
            <x v="3"/>
          </reference>
          <reference field="2" count="1" selected="0">
            <x v="0"/>
          </reference>
        </references>
      </pivotArea>
    </format>
    <format dxfId="19">
      <pivotArea collapsedLevelsAreSubtotals="1" fieldPosition="0">
        <references count="2">
          <reference field="1" count="1">
            <x v="4"/>
          </reference>
          <reference field="2" count="1" selected="0">
            <x v="0"/>
          </reference>
        </references>
      </pivotArea>
    </format>
    <format dxfId="18">
      <pivotArea collapsedLevelsAreSubtotals="1" fieldPosition="0">
        <references count="1">
          <reference field="2" count="1">
            <x v="1"/>
          </reference>
        </references>
      </pivotArea>
    </format>
    <format dxfId="17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ate_Deliver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3">
    <rowHierarchyUsage hierarchyUsage="17"/>
    <rowHierarchyUsage hierarchyUsage="19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CE925-95FA-486A-B282-B6FC7FFFFF14}" name="PivotTable6" cacheId="10" applyNumberFormats="0" applyBorderFormats="0" applyFontFormats="0" applyPatternFormats="0" applyAlignmentFormats="0" applyWidthHeightFormats="1" dataCaption="Values" tag="0125fab4-1f3b-4b13-a5d3-68fe0491d807" updatedVersion="8" minRefreshableVersion="3" useAutoFormatting="1" subtotalHiddenItems="1" itemPrintTitles="1" createdVersion="8" indent="0" outline="1" outlineData="1" multipleFieldFilters="0">
  <location ref="B108:B10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Late Delivery Rate" fld="0" subtotal="count" baseField="0" baseItem="0" numFmtId="10"/>
  </dataFields>
  <formats count="3"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Late Delivery Rat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B8A3-A83E-4D25-99ED-9F46C037A684}">
  <dimension ref="A2:D111"/>
  <sheetViews>
    <sheetView tabSelected="1" workbookViewId="0">
      <selection activeCell="A2" sqref="A2"/>
    </sheetView>
  </sheetViews>
  <sheetFormatPr defaultRowHeight="14.4" x14ac:dyDescent="0.3"/>
  <cols>
    <col min="2" max="2" width="28.109375" customWidth="1"/>
    <col min="3" max="3" width="13.6640625" bestFit="1" customWidth="1"/>
    <col min="4" max="4" width="16" bestFit="1" customWidth="1"/>
    <col min="5" max="11" width="15.5546875" bestFit="1" customWidth="1"/>
    <col min="12" max="12" width="10.77734375" bestFit="1" customWidth="1"/>
  </cols>
  <sheetData>
    <row r="2" spans="1:2" ht="15.6" x14ac:dyDescent="0.3">
      <c r="B2" s="30" t="s">
        <v>89</v>
      </c>
    </row>
    <row r="4" spans="1:2" x14ac:dyDescent="0.3">
      <c r="B4" s="27" t="s">
        <v>90</v>
      </c>
    </row>
    <row r="5" spans="1:2" x14ac:dyDescent="0.3">
      <c r="B5" s="28" t="s">
        <v>91</v>
      </c>
    </row>
    <row r="6" spans="1:2" x14ac:dyDescent="0.3">
      <c r="B6" s="28" t="s">
        <v>92</v>
      </c>
    </row>
    <row r="7" spans="1:2" x14ac:dyDescent="0.3">
      <c r="B7" s="29" t="s">
        <v>93</v>
      </c>
    </row>
    <row r="11" spans="1:2" ht="18" x14ac:dyDescent="0.35">
      <c r="B11" s="12" t="s">
        <v>0</v>
      </c>
    </row>
    <row r="12" spans="1:2" ht="15" thickBot="1" x14ac:dyDescent="0.35"/>
    <row r="13" spans="1:2" ht="16.2" thickBot="1" x14ac:dyDescent="0.35">
      <c r="B13" s="1" t="s">
        <v>1</v>
      </c>
    </row>
    <row r="14" spans="1:2" ht="15.6" x14ac:dyDescent="0.3">
      <c r="B14" s="19">
        <v>89803777</v>
      </c>
    </row>
    <row r="16" spans="1:2" ht="15.6" x14ac:dyDescent="0.3">
      <c r="A16" s="4"/>
      <c r="B16" s="13" t="s">
        <v>11</v>
      </c>
    </row>
    <row r="19" spans="1:3" ht="18" x14ac:dyDescent="0.35">
      <c r="B19" s="12" t="s">
        <v>2</v>
      </c>
    </row>
    <row r="21" spans="1:3" ht="15.6" x14ac:dyDescent="0.3">
      <c r="B21" s="2" t="s">
        <v>3</v>
      </c>
      <c r="C21" t="s">
        <v>1</v>
      </c>
    </row>
    <row r="22" spans="1:3" ht="15.6" x14ac:dyDescent="0.3">
      <c r="B22" s="3" t="s">
        <v>4</v>
      </c>
      <c r="C22" s="5">
        <v>14975803</v>
      </c>
    </row>
    <row r="23" spans="1:3" ht="15.6" x14ac:dyDescent="0.3">
      <c r="B23" s="3" t="s">
        <v>5</v>
      </c>
      <c r="C23" s="5">
        <v>13031178</v>
      </c>
    </row>
    <row r="24" spans="1:3" ht="15.6" x14ac:dyDescent="0.3">
      <c r="B24" s="3" t="s">
        <v>6</v>
      </c>
      <c r="C24" s="5">
        <v>16859060</v>
      </c>
    </row>
    <row r="25" spans="1:3" ht="15.6" x14ac:dyDescent="0.3">
      <c r="B25" s="3" t="s">
        <v>7</v>
      </c>
      <c r="C25" s="5">
        <v>13309357</v>
      </c>
    </row>
    <row r="26" spans="1:3" ht="15.6" x14ac:dyDescent="0.3">
      <c r="B26" s="3" t="s">
        <v>8</v>
      </c>
      <c r="C26" s="5">
        <v>18174543</v>
      </c>
    </row>
    <row r="27" spans="1:3" ht="15.6" x14ac:dyDescent="0.3">
      <c r="B27" s="3" t="s">
        <v>9</v>
      </c>
      <c r="C27" s="5">
        <v>13453836</v>
      </c>
    </row>
    <row r="28" spans="1:3" x14ac:dyDescent="0.3">
      <c r="B28" s="3" t="s">
        <v>10</v>
      </c>
      <c r="C28" s="5">
        <v>89803777</v>
      </c>
    </row>
    <row r="31" spans="1:3" ht="15.6" x14ac:dyDescent="0.3">
      <c r="A31" s="4"/>
      <c r="B31" s="13" t="s">
        <v>12</v>
      </c>
    </row>
    <row r="34" spans="2:3" ht="18" x14ac:dyDescent="0.35">
      <c r="B34" s="12" t="s">
        <v>13</v>
      </c>
    </row>
    <row r="36" spans="2:3" x14ac:dyDescent="0.3">
      <c r="B36" s="2" t="s">
        <v>3</v>
      </c>
      <c r="C36" t="s">
        <v>1</v>
      </c>
    </row>
    <row r="37" spans="2:3" x14ac:dyDescent="0.3">
      <c r="B37" s="3" t="s">
        <v>17</v>
      </c>
      <c r="C37" s="5">
        <v>1468730</v>
      </c>
    </row>
    <row r="38" spans="2:3" x14ac:dyDescent="0.3">
      <c r="B38" s="3" t="s">
        <v>18</v>
      </c>
      <c r="C38" s="5">
        <v>1430740</v>
      </c>
    </row>
    <row r="39" spans="2:3" x14ac:dyDescent="0.3">
      <c r="B39" s="3" t="s">
        <v>19</v>
      </c>
      <c r="C39" s="5">
        <v>1801158</v>
      </c>
    </row>
    <row r="40" spans="2:3" x14ac:dyDescent="0.3">
      <c r="B40" s="3" t="s">
        <v>20</v>
      </c>
      <c r="C40" s="5">
        <v>1774529</v>
      </c>
    </row>
    <row r="41" spans="2:3" x14ac:dyDescent="0.3">
      <c r="B41" s="3" t="s">
        <v>21</v>
      </c>
      <c r="C41" s="5">
        <v>1363431</v>
      </c>
    </row>
    <row r="42" spans="2:3" x14ac:dyDescent="0.3">
      <c r="B42" s="3" t="s">
        <v>10</v>
      </c>
      <c r="C42" s="5">
        <v>7838588</v>
      </c>
    </row>
    <row r="44" spans="2:3" ht="15.6" x14ac:dyDescent="0.3">
      <c r="B44" s="13" t="s">
        <v>59</v>
      </c>
    </row>
    <row r="47" spans="2:3" ht="18" x14ac:dyDescent="0.35">
      <c r="B47" s="12" t="s">
        <v>14</v>
      </c>
    </row>
    <row r="49" spans="2:3" x14ac:dyDescent="0.3">
      <c r="B49" s="2" t="s">
        <v>3</v>
      </c>
      <c r="C49" t="s">
        <v>16</v>
      </c>
    </row>
    <row r="50" spans="2:3" x14ac:dyDescent="0.3">
      <c r="B50" s="3" t="s">
        <v>15</v>
      </c>
      <c r="C50">
        <v>542</v>
      </c>
    </row>
    <row r="51" spans="2:3" x14ac:dyDescent="0.3">
      <c r="B51" s="3" t="s">
        <v>23</v>
      </c>
      <c r="C51">
        <v>498</v>
      </c>
    </row>
    <row r="52" spans="2:3" x14ac:dyDescent="0.3">
      <c r="B52" s="3" t="s">
        <v>22</v>
      </c>
      <c r="C52">
        <v>473</v>
      </c>
    </row>
    <row r="53" spans="2:3" x14ac:dyDescent="0.3">
      <c r="B53" s="3" t="s">
        <v>25</v>
      </c>
      <c r="C53">
        <v>462</v>
      </c>
    </row>
    <row r="54" spans="2:3" x14ac:dyDescent="0.3">
      <c r="B54" s="3" t="s">
        <v>24</v>
      </c>
      <c r="C54">
        <v>453</v>
      </c>
    </row>
    <row r="55" spans="2:3" x14ac:dyDescent="0.3">
      <c r="B55" s="3" t="s">
        <v>10</v>
      </c>
      <c r="C55">
        <v>2428</v>
      </c>
    </row>
    <row r="58" spans="2:3" ht="18" x14ac:dyDescent="0.35">
      <c r="B58" s="12" t="s">
        <v>26</v>
      </c>
    </row>
    <row r="59" spans="2:3" x14ac:dyDescent="0.3">
      <c r="B59" s="6" t="s">
        <v>27</v>
      </c>
    </row>
    <row r="61" spans="2:3" x14ac:dyDescent="0.3">
      <c r="B61" s="2" t="s">
        <v>3</v>
      </c>
      <c r="C61" t="s">
        <v>1</v>
      </c>
    </row>
    <row r="62" spans="2:3" x14ac:dyDescent="0.3">
      <c r="B62" s="3" t="s">
        <v>29</v>
      </c>
      <c r="C62" s="5">
        <v>58197735</v>
      </c>
    </row>
    <row r="63" spans="2:3" x14ac:dyDescent="0.3">
      <c r="B63" s="3" t="s">
        <v>30</v>
      </c>
      <c r="C63" s="5">
        <v>24708039</v>
      </c>
    </row>
    <row r="64" spans="2:3" x14ac:dyDescent="0.3">
      <c r="B64" s="3" t="s">
        <v>28</v>
      </c>
      <c r="C64" s="5">
        <v>4549782</v>
      </c>
    </row>
    <row r="65" spans="2:3" x14ac:dyDescent="0.3">
      <c r="B65" s="3" t="s">
        <v>31</v>
      </c>
      <c r="C65" s="5">
        <v>2348221</v>
      </c>
    </row>
    <row r="66" spans="2:3" x14ac:dyDescent="0.3">
      <c r="B66" s="3" t="s">
        <v>10</v>
      </c>
      <c r="C66" s="5">
        <v>89803777</v>
      </c>
    </row>
    <row r="68" spans="2:3" ht="15.6" x14ac:dyDescent="0.3">
      <c r="B68" s="13" t="s">
        <v>32</v>
      </c>
    </row>
    <row r="71" spans="2:3" ht="18" x14ac:dyDescent="0.35">
      <c r="B71" s="12" t="s">
        <v>43</v>
      </c>
    </row>
    <row r="73" spans="2:3" x14ac:dyDescent="0.3">
      <c r="B73" t="s">
        <v>44</v>
      </c>
    </row>
    <row r="74" spans="2:3" x14ac:dyDescent="0.3">
      <c r="B74" s="9">
        <v>4.5717647058823525</v>
      </c>
    </row>
    <row r="76" spans="2:3" ht="15.6" x14ac:dyDescent="0.3">
      <c r="B76" s="13" t="s">
        <v>45</v>
      </c>
    </row>
    <row r="79" spans="2:3" ht="18" x14ac:dyDescent="0.35">
      <c r="B79" s="12" t="s">
        <v>46</v>
      </c>
    </row>
    <row r="81" spans="2:3" x14ac:dyDescent="0.3">
      <c r="B81" t="s">
        <v>47</v>
      </c>
    </row>
    <row r="82" spans="2:3" x14ac:dyDescent="0.3">
      <c r="B82" s="10">
        <v>0.69529411764705884</v>
      </c>
    </row>
    <row r="84" spans="2:3" ht="15.6" x14ac:dyDescent="0.3">
      <c r="B84" s="13" t="s">
        <v>48</v>
      </c>
    </row>
    <row r="87" spans="2:3" ht="18" x14ac:dyDescent="0.35">
      <c r="B87" s="12" t="s">
        <v>49</v>
      </c>
    </row>
    <row r="89" spans="2:3" x14ac:dyDescent="0.3">
      <c r="B89" s="2" t="s">
        <v>3</v>
      </c>
      <c r="C89" t="s">
        <v>53</v>
      </c>
    </row>
    <row r="90" spans="2:3" x14ac:dyDescent="0.3">
      <c r="B90" s="3" t="s">
        <v>51</v>
      </c>
      <c r="C90">
        <v>268</v>
      </c>
    </row>
    <row r="91" spans="2:3" x14ac:dyDescent="0.3">
      <c r="B91" s="3" t="s">
        <v>52</v>
      </c>
      <c r="C91">
        <v>228</v>
      </c>
    </row>
    <row r="92" spans="2:3" x14ac:dyDescent="0.3">
      <c r="B92" s="3" t="s">
        <v>50</v>
      </c>
      <c r="C92">
        <v>254</v>
      </c>
    </row>
    <row r="93" spans="2:3" x14ac:dyDescent="0.3">
      <c r="B93" s="3" t="s">
        <v>10</v>
      </c>
      <c r="C93">
        <v>750</v>
      </c>
    </row>
    <row r="95" spans="2:3" ht="15.6" x14ac:dyDescent="0.3">
      <c r="B95" s="13" t="s">
        <v>56</v>
      </c>
    </row>
    <row r="98" spans="2:4" ht="18" x14ac:dyDescent="0.35">
      <c r="B98" s="12" t="s">
        <v>58</v>
      </c>
    </row>
    <row r="100" spans="2:4" x14ac:dyDescent="0.3">
      <c r="B100" s="2" t="s">
        <v>3</v>
      </c>
      <c r="C100" t="s">
        <v>1</v>
      </c>
      <c r="D100" s="9" t="s">
        <v>54</v>
      </c>
    </row>
    <row r="101" spans="2:4" x14ac:dyDescent="0.3">
      <c r="B101" s="3" t="s">
        <v>33</v>
      </c>
      <c r="D101" s="9"/>
    </row>
    <row r="102" spans="2:4" x14ac:dyDescent="0.3">
      <c r="B102" s="7" t="s">
        <v>34</v>
      </c>
      <c r="D102" s="9"/>
    </row>
    <row r="103" spans="2:4" x14ac:dyDescent="0.3">
      <c r="B103" s="8" t="s">
        <v>35</v>
      </c>
      <c r="C103" s="5">
        <v>14975803</v>
      </c>
      <c r="D103" s="9">
        <v>4.5777777777777775</v>
      </c>
    </row>
    <row r="104" spans="2:4" x14ac:dyDescent="0.3">
      <c r="B104" s="8" t="s">
        <v>36</v>
      </c>
      <c r="C104" s="5">
        <v>13031178</v>
      </c>
      <c r="D104" s="9">
        <v>4.416666666666667</v>
      </c>
    </row>
    <row r="105" spans="2:4" x14ac:dyDescent="0.3">
      <c r="B105" s="7" t="s">
        <v>37</v>
      </c>
      <c r="C105" s="5">
        <v>48342960</v>
      </c>
      <c r="D105" s="9">
        <v>4.6689497716894977</v>
      </c>
    </row>
    <row r="106" spans="2:4" x14ac:dyDescent="0.3">
      <c r="B106" s="3" t="s">
        <v>41</v>
      </c>
      <c r="C106" s="5">
        <v>13453836</v>
      </c>
      <c r="D106" s="9">
        <v>4.4137931034482758</v>
      </c>
    </row>
    <row r="107" spans="2:4" x14ac:dyDescent="0.3">
      <c r="B107" s="3" t="s">
        <v>10</v>
      </c>
      <c r="C107" s="5">
        <v>89803777</v>
      </c>
      <c r="D107" s="9">
        <v>4.5717647058823525</v>
      </c>
    </row>
    <row r="110" spans="2:4" ht="15.6" x14ac:dyDescent="0.3">
      <c r="B110" s="13" t="s">
        <v>55</v>
      </c>
    </row>
    <row r="111" spans="2:4" ht="18" x14ac:dyDescent="0.35">
      <c r="B11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6312-882F-484B-8419-FB5EE78A3F0A}">
  <dimension ref="B2:D146"/>
  <sheetViews>
    <sheetView topLeftCell="A73" zoomScale="115" zoomScaleNormal="115" workbookViewId="0">
      <selection activeCell="H85" sqref="H85"/>
    </sheetView>
  </sheetViews>
  <sheetFormatPr defaultRowHeight="14.4" x14ac:dyDescent="0.3"/>
  <cols>
    <col min="2" max="2" width="19.5546875" customWidth="1"/>
    <col min="3" max="3" width="14.44140625" bestFit="1" customWidth="1"/>
    <col min="4" max="4" width="12" bestFit="1" customWidth="1"/>
    <col min="5" max="5" width="12.5546875" bestFit="1" customWidth="1"/>
    <col min="6" max="6" width="16" bestFit="1" customWidth="1"/>
    <col min="8" max="8" width="11.21875" customWidth="1"/>
    <col min="9" max="9" width="17.33203125" customWidth="1"/>
    <col min="13" max="13" width="11.6640625" customWidth="1"/>
  </cols>
  <sheetData>
    <row r="2" spans="2:3" ht="18" x14ac:dyDescent="0.35">
      <c r="B2" s="12" t="s">
        <v>67</v>
      </c>
    </row>
    <row r="4" spans="2:3" x14ac:dyDescent="0.3">
      <c r="B4" s="15" t="s">
        <v>57</v>
      </c>
      <c r="C4" s="15" t="s">
        <v>1</v>
      </c>
    </row>
    <row r="5" spans="2:3" x14ac:dyDescent="0.3">
      <c r="B5" s="14" t="s">
        <v>35</v>
      </c>
      <c r="C5" s="5">
        <v>14975803</v>
      </c>
    </row>
    <row r="6" spans="2:3" x14ac:dyDescent="0.3">
      <c r="B6" s="14" t="s">
        <v>36</v>
      </c>
      <c r="C6" s="5">
        <v>13031178</v>
      </c>
    </row>
    <row r="7" spans="2:3" x14ac:dyDescent="0.3">
      <c r="B7" s="14" t="s">
        <v>38</v>
      </c>
      <c r="C7" s="5">
        <v>16859060</v>
      </c>
    </row>
    <row r="8" spans="2:3" x14ac:dyDescent="0.3">
      <c r="B8" s="14" t="s">
        <v>39</v>
      </c>
      <c r="C8" s="5">
        <v>13309357</v>
      </c>
    </row>
    <row r="9" spans="2:3" x14ac:dyDescent="0.3">
      <c r="B9" s="14" t="s">
        <v>40</v>
      </c>
      <c r="C9" s="5">
        <v>18174543</v>
      </c>
    </row>
    <row r="10" spans="2:3" x14ac:dyDescent="0.3">
      <c r="B10" s="14" t="s">
        <v>42</v>
      </c>
      <c r="C10" s="5">
        <v>13453836</v>
      </c>
    </row>
    <row r="11" spans="2:3" x14ac:dyDescent="0.3">
      <c r="B11" s="16" t="s">
        <v>10</v>
      </c>
      <c r="C11" s="11">
        <v>89803777</v>
      </c>
    </row>
    <row r="18" spans="2:3" ht="15.6" x14ac:dyDescent="0.3">
      <c r="B18" s="13" t="s">
        <v>60</v>
      </c>
    </row>
    <row r="21" spans="2:3" ht="18" x14ac:dyDescent="0.35">
      <c r="B21" s="12" t="s">
        <v>61</v>
      </c>
    </row>
    <row r="23" spans="2:3" x14ac:dyDescent="0.3">
      <c r="B23" s="2" t="s">
        <v>64</v>
      </c>
      <c r="C23" t="s">
        <v>62</v>
      </c>
    </row>
    <row r="24" spans="2:3" x14ac:dyDescent="0.3">
      <c r="B24" s="3" t="s">
        <v>29</v>
      </c>
      <c r="C24" s="17">
        <v>58197735</v>
      </c>
    </row>
    <row r="25" spans="2:3" x14ac:dyDescent="0.3">
      <c r="B25" s="3" t="s">
        <v>30</v>
      </c>
      <c r="C25" s="17">
        <v>24708039</v>
      </c>
    </row>
    <row r="26" spans="2:3" x14ac:dyDescent="0.3">
      <c r="B26" s="3" t="s">
        <v>28</v>
      </c>
      <c r="C26" s="17">
        <v>4549782</v>
      </c>
    </row>
    <row r="27" spans="2:3" x14ac:dyDescent="0.3">
      <c r="B27" s="3" t="s">
        <v>31</v>
      </c>
      <c r="C27" s="17">
        <v>2348221</v>
      </c>
    </row>
    <row r="28" spans="2:3" x14ac:dyDescent="0.3">
      <c r="B28" s="3" t="s">
        <v>10</v>
      </c>
      <c r="C28" s="17">
        <v>89803777</v>
      </c>
    </row>
    <row r="36" spans="2:3" ht="15.6" x14ac:dyDescent="0.3">
      <c r="B36" s="13" t="s">
        <v>71</v>
      </c>
    </row>
    <row r="39" spans="2:3" ht="18" x14ac:dyDescent="0.35">
      <c r="B39" s="12" t="s">
        <v>63</v>
      </c>
    </row>
    <row r="41" spans="2:3" x14ac:dyDescent="0.3">
      <c r="B41" s="2" t="s">
        <v>65</v>
      </c>
      <c r="C41" t="s">
        <v>62</v>
      </c>
    </row>
    <row r="42" spans="2:3" x14ac:dyDescent="0.3">
      <c r="B42" s="3" t="s">
        <v>19</v>
      </c>
      <c r="C42" s="17">
        <v>1801158</v>
      </c>
    </row>
    <row r="43" spans="2:3" x14ac:dyDescent="0.3">
      <c r="B43" s="3" t="s">
        <v>20</v>
      </c>
      <c r="C43" s="17">
        <v>1774529</v>
      </c>
    </row>
    <row r="44" spans="2:3" x14ac:dyDescent="0.3">
      <c r="B44" s="3" t="s">
        <v>17</v>
      </c>
      <c r="C44" s="17">
        <v>1468730</v>
      </c>
    </row>
    <row r="45" spans="2:3" x14ac:dyDescent="0.3">
      <c r="B45" s="3" t="s">
        <v>18</v>
      </c>
      <c r="C45" s="17">
        <v>1430740</v>
      </c>
    </row>
    <row r="46" spans="2:3" x14ac:dyDescent="0.3">
      <c r="B46" s="3" t="s">
        <v>21</v>
      </c>
      <c r="C46" s="17">
        <v>1363431</v>
      </c>
    </row>
    <row r="47" spans="2:3" x14ac:dyDescent="0.3">
      <c r="B47" s="3" t="s">
        <v>10</v>
      </c>
      <c r="C47" s="17">
        <v>7838588</v>
      </c>
    </row>
    <row r="55" spans="2:3" ht="15.6" x14ac:dyDescent="0.3">
      <c r="B55" s="13" t="s">
        <v>66</v>
      </c>
    </row>
    <row r="58" spans="2:3" ht="18" x14ac:dyDescent="0.35">
      <c r="B58" s="12" t="s">
        <v>68</v>
      </c>
    </row>
    <row r="60" spans="2:3" x14ac:dyDescent="0.3">
      <c r="B60" s="2" t="s">
        <v>74</v>
      </c>
      <c r="C60" t="s">
        <v>62</v>
      </c>
    </row>
    <row r="61" spans="2:3" x14ac:dyDescent="0.3">
      <c r="B61" s="3" t="s">
        <v>15</v>
      </c>
      <c r="C61" s="17">
        <v>19805991</v>
      </c>
    </row>
    <row r="62" spans="2:3" x14ac:dyDescent="0.3">
      <c r="B62" s="3" t="s">
        <v>69</v>
      </c>
      <c r="C62" s="17">
        <v>11999250</v>
      </c>
    </row>
    <row r="63" spans="2:3" x14ac:dyDescent="0.3">
      <c r="B63" s="3" t="s">
        <v>70</v>
      </c>
      <c r="C63" s="17">
        <v>11471672</v>
      </c>
    </row>
    <row r="64" spans="2:3" x14ac:dyDescent="0.3">
      <c r="B64" s="3" t="s">
        <v>24</v>
      </c>
      <c r="C64" s="17">
        <v>8073053</v>
      </c>
    </row>
    <row r="65" spans="2:3" x14ac:dyDescent="0.3">
      <c r="B65" s="3" t="s">
        <v>22</v>
      </c>
      <c r="C65" s="17">
        <v>6906953</v>
      </c>
    </row>
    <row r="66" spans="2:3" x14ac:dyDescent="0.3">
      <c r="B66" s="3" t="s">
        <v>10</v>
      </c>
      <c r="C66" s="17">
        <v>58256919</v>
      </c>
    </row>
    <row r="73" spans="2:3" ht="15.6" x14ac:dyDescent="0.3">
      <c r="B73" s="13" t="s">
        <v>72</v>
      </c>
    </row>
    <row r="76" spans="2:3" ht="18" x14ac:dyDescent="0.35">
      <c r="B76" s="12" t="s">
        <v>73</v>
      </c>
    </row>
    <row r="78" spans="2:3" x14ac:dyDescent="0.3">
      <c r="B78" s="2" t="s">
        <v>94</v>
      </c>
      <c r="C78" t="s">
        <v>53</v>
      </c>
    </row>
    <row r="79" spans="2:3" x14ac:dyDescent="0.3">
      <c r="B79" s="3" t="s">
        <v>51</v>
      </c>
      <c r="C79">
        <v>268</v>
      </c>
    </row>
    <row r="80" spans="2:3" x14ac:dyDescent="0.3">
      <c r="B80" s="3" t="s">
        <v>52</v>
      </c>
      <c r="C80">
        <v>228</v>
      </c>
    </row>
    <row r="81" spans="2:3" x14ac:dyDescent="0.3">
      <c r="B81" s="3" t="s">
        <v>50</v>
      </c>
      <c r="C81">
        <v>254</v>
      </c>
    </row>
    <row r="82" spans="2:3" x14ac:dyDescent="0.3">
      <c r="B82" s="3" t="s">
        <v>10</v>
      </c>
      <c r="C82">
        <v>750</v>
      </c>
    </row>
    <row r="92" spans="2:3" ht="15.6" x14ac:dyDescent="0.3">
      <c r="B92" s="13" t="s">
        <v>75</v>
      </c>
    </row>
    <row r="95" spans="2:3" ht="18" x14ac:dyDescent="0.35">
      <c r="B95" s="12" t="s">
        <v>76</v>
      </c>
    </row>
    <row r="97" spans="2:3" x14ac:dyDescent="0.3">
      <c r="B97" s="20" t="s">
        <v>82</v>
      </c>
      <c r="C97" s="21"/>
    </row>
    <row r="98" spans="2:3" ht="40.799999999999997" x14ac:dyDescent="0.3">
      <c r="B98" s="22" t="s">
        <v>78</v>
      </c>
      <c r="C98" s="23">
        <v>4.5717647058823525</v>
      </c>
    </row>
    <row r="99" spans="2:3" ht="40.799999999999997" x14ac:dyDescent="0.3">
      <c r="B99" s="22" t="s">
        <v>79</v>
      </c>
      <c r="C99" s="24">
        <v>4</v>
      </c>
    </row>
    <row r="100" spans="2:3" ht="40.799999999999997" x14ac:dyDescent="0.3">
      <c r="B100" s="22" t="s">
        <v>80</v>
      </c>
      <c r="C100" s="24">
        <v>0</v>
      </c>
    </row>
    <row r="103" spans="2:3" ht="15.6" x14ac:dyDescent="0.3">
      <c r="B103" s="13" t="s">
        <v>77</v>
      </c>
    </row>
    <row r="106" spans="2:3" ht="18" x14ac:dyDescent="0.35">
      <c r="B106" s="12" t="s">
        <v>81</v>
      </c>
    </row>
    <row r="108" spans="2:3" x14ac:dyDescent="0.3">
      <c r="B108" t="s">
        <v>83</v>
      </c>
    </row>
    <row r="109" spans="2:3" ht="40.799999999999997" x14ac:dyDescent="0.75">
      <c r="B109" s="25">
        <v>0.69529411764705884</v>
      </c>
    </row>
    <row r="111" spans="2:3" ht="15.6" x14ac:dyDescent="0.3">
      <c r="B111" s="13" t="s">
        <v>84</v>
      </c>
    </row>
    <row r="114" spans="2:4" ht="18" x14ac:dyDescent="0.35">
      <c r="B114" s="12" t="s">
        <v>85</v>
      </c>
    </row>
    <row r="116" spans="2:4" x14ac:dyDescent="0.3">
      <c r="B116" s="15" t="s">
        <v>57</v>
      </c>
      <c r="C116" s="15" t="s">
        <v>1</v>
      </c>
      <c r="D116" s="18" t="s">
        <v>54</v>
      </c>
    </row>
    <row r="117" spans="2:4" x14ac:dyDescent="0.3">
      <c r="B117" s="14" t="s">
        <v>35</v>
      </c>
      <c r="C117" s="5">
        <v>14975803</v>
      </c>
      <c r="D117" s="9">
        <v>4.5777777777777775</v>
      </c>
    </row>
    <row r="118" spans="2:4" x14ac:dyDescent="0.3">
      <c r="B118" s="14" t="s">
        <v>36</v>
      </c>
      <c r="C118" s="5">
        <v>13031178</v>
      </c>
      <c r="D118" s="9">
        <v>4.416666666666667</v>
      </c>
    </row>
    <row r="119" spans="2:4" x14ac:dyDescent="0.3">
      <c r="B119" s="14" t="s">
        <v>38</v>
      </c>
      <c r="C119" s="5">
        <v>16859060</v>
      </c>
      <c r="D119" s="9">
        <v>4.8680555555555554</v>
      </c>
    </row>
    <row r="120" spans="2:4" x14ac:dyDescent="0.3">
      <c r="B120" s="14" t="s">
        <v>39</v>
      </c>
      <c r="C120" s="5">
        <v>13309357</v>
      </c>
      <c r="D120" s="9">
        <v>4.4545454545454541</v>
      </c>
    </row>
    <row r="121" spans="2:4" x14ac:dyDescent="0.3">
      <c r="B121" s="14" t="s">
        <v>40</v>
      </c>
      <c r="C121" s="5">
        <v>18174543</v>
      </c>
      <c r="D121" s="9">
        <v>4.666666666666667</v>
      </c>
    </row>
    <row r="122" spans="2:4" x14ac:dyDescent="0.3">
      <c r="B122" s="14" t="s">
        <v>42</v>
      </c>
      <c r="C122" s="5">
        <v>13453836</v>
      </c>
      <c r="D122" s="9">
        <v>4.4137931034482758</v>
      </c>
    </row>
    <row r="123" spans="2:4" x14ac:dyDescent="0.3">
      <c r="B123" s="16" t="s">
        <v>10</v>
      </c>
      <c r="C123" s="11">
        <v>89803777</v>
      </c>
      <c r="D123" s="26">
        <v>4.5717647058823525</v>
      </c>
    </row>
    <row r="130" spans="2:3" ht="15.6" x14ac:dyDescent="0.3">
      <c r="B130" s="13" t="s">
        <v>86</v>
      </c>
    </row>
    <row r="133" spans="2:3" ht="18" x14ac:dyDescent="0.35">
      <c r="B133" s="12" t="s">
        <v>87</v>
      </c>
    </row>
    <row r="135" spans="2:3" x14ac:dyDescent="0.3">
      <c r="B135" s="2" t="s">
        <v>3</v>
      </c>
      <c r="C135" t="s">
        <v>47</v>
      </c>
    </row>
    <row r="136" spans="2:3" x14ac:dyDescent="0.3">
      <c r="B136" s="3" t="s">
        <v>33</v>
      </c>
    </row>
    <row r="137" spans="2:3" x14ac:dyDescent="0.3">
      <c r="B137" s="7" t="s">
        <v>35</v>
      </c>
      <c r="C137" s="10">
        <v>0.72592592592592597</v>
      </c>
    </row>
    <row r="138" spans="2:3" x14ac:dyDescent="0.3">
      <c r="B138" s="7" t="s">
        <v>36</v>
      </c>
      <c r="C138" s="10">
        <v>0.6742424242424242</v>
      </c>
    </row>
    <row r="139" spans="2:3" x14ac:dyDescent="0.3">
      <c r="B139" s="7" t="s">
        <v>38</v>
      </c>
      <c r="C139" s="10">
        <v>0.75694444444444442</v>
      </c>
    </row>
    <row r="140" spans="2:3" x14ac:dyDescent="0.3">
      <c r="B140" s="7" t="s">
        <v>39</v>
      </c>
      <c r="C140" s="10">
        <v>0.6742424242424242</v>
      </c>
    </row>
    <row r="141" spans="2:3" x14ac:dyDescent="0.3">
      <c r="B141" s="7" t="s">
        <v>40</v>
      </c>
      <c r="C141" s="10">
        <v>0.70987654320987659</v>
      </c>
    </row>
    <row r="142" spans="2:3" x14ac:dyDescent="0.3">
      <c r="B142" s="3" t="s">
        <v>41</v>
      </c>
      <c r="C142" s="10">
        <v>0.62758620689655176</v>
      </c>
    </row>
    <row r="143" spans="2:3" x14ac:dyDescent="0.3">
      <c r="B143" s="3" t="s">
        <v>10</v>
      </c>
      <c r="C143" s="10">
        <v>0.69529411764705884</v>
      </c>
    </row>
    <row r="146" spans="2:2" ht="15.6" x14ac:dyDescent="0.3">
      <c r="B146" s="13" t="s">
        <v>88</v>
      </c>
    </row>
  </sheetData>
  <conditionalFormatting pivot="1" sqref="C100">
    <cfRule type="iconSet" priority="2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50CC-C030-43FD-B070-218B1280F3EC}">
  <dimension ref="B2:B19"/>
  <sheetViews>
    <sheetView workbookViewId="0">
      <selection activeCell="K24" sqref="K24"/>
    </sheetView>
  </sheetViews>
  <sheetFormatPr defaultRowHeight="14.4" x14ac:dyDescent="0.3"/>
  <cols>
    <col min="2" max="2" width="16.77734375" customWidth="1"/>
  </cols>
  <sheetData>
    <row r="2" spans="2:2" ht="15.6" x14ac:dyDescent="0.3">
      <c r="B2" s="30" t="s">
        <v>106</v>
      </c>
    </row>
    <row r="4" spans="2:2" x14ac:dyDescent="0.3">
      <c r="B4" t="s">
        <v>95</v>
      </c>
    </row>
    <row r="6" spans="2:2" x14ac:dyDescent="0.3">
      <c r="B6" t="s">
        <v>96</v>
      </c>
    </row>
    <row r="7" spans="2:2" x14ac:dyDescent="0.3">
      <c r="B7" t="s">
        <v>97</v>
      </c>
    </row>
    <row r="9" spans="2:2" x14ac:dyDescent="0.3">
      <c r="B9" t="s">
        <v>98</v>
      </c>
    </row>
    <row r="10" spans="2:2" x14ac:dyDescent="0.3">
      <c r="B10" t="s">
        <v>99</v>
      </c>
    </row>
    <row r="12" spans="2:2" x14ac:dyDescent="0.3">
      <c r="B12" t="s">
        <v>100</v>
      </c>
    </row>
    <row r="13" spans="2:2" x14ac:dyDescent="0.3">
      <c r="B13" t="s">
        <v>101</v>
      </c>
    </row>
    <row r="15" spans="2:2" x14ac:dyDescent="0.3">
      <c r="B15" t="s">
        <v>102</v>
      </c>
    </row>
    <row r="16" spans="2:2" x14ac:dyDescent="0.3">
      <c r="B16" t="s">
        <v>103</v>
      </c>
    </row>
    <row r="18" spans="2:2" x14ac:dyDescent="0.3">
      <c r="B18" t="s">
        <v>104</v>
      </c>
    </row>
    <row r="19" spans="2:2" x14ac:dyDescent="0.3">
      <c r="B19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Props1.xml><?xml version="1.0" encoding="utf-8"?>
<ds:datastoreItem xmlns:ds="http://schemas.openxmlformats.org/officeDocument/2006/customXml" ds:itemID="{2E581292-7882-46B1-9D37-8BBA8F37F4BE}">
  <ds:schemaRefs/>
</ds:datastoreItem>
</file>

<file path=customXml/itemProps2.xml><?xml version="1.0" encoding="utf-8"?>
<ds:datastoreItem xmlns:ds="http://schemas.openxmlformats.org/officeDocument/2006/customXml" ds:itemID="{74E8EA44-5972-4565-8EAD-8A2B68AA8E20}">
  <ds:schemaRefs/>
</ds:datastoreItem>
</file>

<file path=customXml/itemProps3.xml><?xml version="1.0" encoding="utf-8"?>
<ds:datastoreItem xmlns:ds="http://schemas.openxmlformats.org/officeDocument/2006/customXml" ds:itemID="{61C514DF-31BD-4798-A4D1-062A9329B5A5}">
  <ds:schemaRefs/>
</ds:datastoreItem>
</file>

<file path=customXml/itemProps4.xml><?xml version="1.0" encoding="utf-8"?>
<ds:datastoreItem xmlns:ds="http://schemas.openxmlformats.org/officeDocument/2006/customXml" ds:itemID="{A597483E-F19C-43FF-BB3E-088429A9AA84}">
  <ds:schemaRefs/>
</ds:datastoreItem>
</file>

<file path=customXml/itemProps5.xml><?xml version="1.0" encoding="utf-8"?>
<ds:datastoreItem xmlns:ds="http://schemas.openxmlformats.org/officeDocument/2006/customXml" ds:itemID="{AD16EE1E-BBE7-4823-84BF-1E3EBDCFA563}">
  <ds:schemaRefs/>
</ds:datastoreItem>
</file>

<file path=customXml/itemProps6.xml><?xml version="1.0" encoding="utf-8"?>
<ds:datastoreItem xmlns:ds="http://schemas.openxmlformats.org/officeDocument/2006/customXml" ds:itemID="{C41244FD-3A91-42DC-85C0-093B3CB65D3C}">
  <ds:schemaRefs/>
</ds:datastoreItem>
</file>

<file path=customXml/itemProps7.xml><?xml version="1.0" encoding="utf-8"?>
<ds:datastoreItem xmlns:ds="http://schemas.openxmlformats.org/officeDocument/2006/customXml" ds:itemID="{361CFE0E-D473-4E62-8697-FCB904FFABF3}">
  <ds:schemaRefs/>
</ds:datastoreItem>
</file>

<file path=customXml/itemProps8.xml><?xml version="1.0" encoding="utf-8"?>
<ds:datastoreItem xmlns:ds="http://schemas.openxmlformats.org/officeDocument/2006/customXml" ds:itemID="{4623D723-0990-4E4F-9AD1-6B043270B1EB}">
  <ds:schemaRefs/>
</ds:datastoreItem>
</file>

<file path=customXml/itemProps9.xml><?xml version="1.0" encoding="utf-8"?>
<ds:datastoreItem xmlns:ds="http://schemas.openxmlformats.org/officeDocument/2006/customXml" ds:itemID="{5E3F8FFF-6517-4288-A273-E2F6835095F7}">
  <ds:schemaRefs/>
</ds:datastoreItem>
</file>

<file path=customXml/itemProps10.xml><?xml version="1.0" encoding="utf-8"?>
<ds:datastoreItem xmlns:ds="http://schemas.openxmlformats.org/officeDocument/2006/customXml" ds:itemID="{4B9756C8-211E-49EA-8BFF-6B82A8B7F05E}">
  <ds:schemaRefs/>
</ds:datastoreItem>
</file>

<file path=customXml/itemProps11.xml><?xml version="1.0" encoding="utf-8"?>
<ds:datastoreItem xmlns:ds="http://schemas.openxmlformats.org/officeDocument/2006/customXml" ds:itemID="{E1D42209-A7FD-487A-ABB4-52134F7F4A16}">
  <ds:schemaRefs/>
</ds:datastoreItem>
</file>

<file path=customXml/itemProps12.xml><?xml version="1.0" encoding="utf-8"?>
<ds:datastoreItem xmlns:ds="http://schemas.openxmlformats.org/officeDocument/2006/customXml" ds:itemID="{555DDCE5-BDA2-48C1-B43A-2FA3836D50E6}">
  <ds:schemaRefs/>
</ds:datastoreItem>
</file>

<file path=customXml/itemProps13.xml><?xml version="1.0" encoding="utf-8"?>
<ds:datastoreItem xmlns:ds="http://schemas.openxmlformats.org/officeDocument/2006/customXml" ds:itemID="{944AD940-7B3A-4E8F-A503-BCEB7FF132BA}">
  <ds:schemaRefs/>
</ds:datastoreItem>
</file>

<file path=customXml/itemProps14.xml><?xml version="1.0" encoding="utf-8"?>
<ds:datastoreItem xmlns:ds="http://schemas.openxmlformats.org/officeDocument/2006/customXml" ds:itemID="{C0E346F6-F94A-4EF7-9ADC-CB1BBF219B73}">
  <ds:schemaRefs/>
</ds:datastoreItem>
</file>

<file path=customXml/itemProps15.xml><?xml version="1.0" encoding="utf-8"?>
<ds:datastoreItem xmlns:ds="http://schemas.openxmlformats.org/officeDocument/2006/customXml" ds:itemID="{507BB43D-0FC0-40F1-A720-84EC5D6D023F}">
  <ds:schemaRefs/>
</ds:datastoreItem>
</file>

<file path=customXml/itemProps16.xml><?xml version="1.0" encoding="utf-8"?>
<ds:datastoreItem xmlns:ds="http://schemas.openxmlformats.org/officeDocument/2006/customXml" ds:itemID="{B66DD0A3-AED1-450E-B809-771702C30B53}">
  <ds:schemaRefs/>
</ds:datastoreItem>
</file>

<file path=customXml/itemProps17.xml><?xml version="1.0" encoding="utf-8"?>
<ds:datastoreItem xmlns:ds="http://schemas.openxmlformats.org/officeDocument/2006/customXml" ds:itemID="{FCF1E74D-0088-4B93-8C09-819DBC5DD3CF}">
  <ds:schemaRefs/>
</ds:datastoreItem>
</file>

<file path=customXml/itemProps18.xml><?xml version="1.0" encoding="utf-8"?>
<ds:datastoreItem xmlns:ds="http://schemas.openxmlformats.org/officeDocument/2006/customXml" ds:itemID="{E1872EC2-53E2-4E34-A0AA-80B59DFD6CD3}">
  <ds:schemaRefs/>
</ds:datastoreItem>
</file>

<file path=customXml/itemProps19.xml><?xml version="1.0" encoding="utf-8"?>
<ds:datastoreItem xmlns:ds="http://schemas.openxmlformats.org/officeDocument/2006/customXml" ds:itemID="{6AD343C4-9A65-4235-9711-17051CC41733}">
  <ds:schemaRefs/>
</ds:datastoreItem>
</file>

<file path=customXml/itemProps20.xml><?xml version="1.0" encoding="utf-8"?>
<ds:datastoreItem xmlns:ds="http://schemas.openxmlformats.org/officeDocument/2006/customXml" ds:itemID="{EE7042D9-51B8-44D8-8BA9-E87D3B0D30A3}">
  <ds:schemaRefs/>
</ds:datastoreItem>
</file>

<file path=customXml/itemProps21.xml><?xml version="1.0" encoding="utf-8"?>
<ds:datastoreItem xmlns:ds="http://schemas.openxmlformats.org/officeDocument/2006/customXml" ds:itemID="{F4B22CC4-3844-464F-BAAB-2D2B4FA5CDB3}">
  <ds:schemaRefs/>
</ds:datastoreItem>
</file>

<file path=customXml/itemProps22.xml><?xml version="1.0" encoding="utf-8"?>
<ds:datastoreItem xmlns:ds="http://schemas.openxmlformats.org/officeDocument/2006/customXml" ds:itemID="{DD009D4B-EC27-4D44-A185-6B57FA7BF477}">
  <ds:schemaRefs/>
</ds:datastoreItem>
</file>

<file path=customXml/itemProps23.xml><?xml version="1.0" encoding="utf-8"?>
<ds:datastoreItem xmlns:ds="http://schemas.openxmlformats.org/officeDocument/2006/customXml" ds:itemID="{077D4268-7597-4853-B90B-89544410A9B3}">
  <ds:schemaRefs/>
</ds:datastoreItem>
</file>

<file path=customXml/itemProps24.xml><?xml version="1.0" encoding="utf-8"?>
<ds:datastoreItem xmlns:ds="http://schemas.openxmlformats.org/officeDocument/2006/customXml" ds:itemID="{AF87D68B-7566-45B3-BA38-CDC36593326C}">
  <ds:schemaRefs/>
</ds:datastoreItem>
</file>

<file path=customXml/itemProps25.xml><?xml version="1.0" encoding="utf-8"?>
<ds:datastoreItem xmlns:ds="http://schemas.openxmlformats.org/officeDocument/2006/customXml" ds:itemID="{C8ACA8DE-57D4-48FB-B18F-C522DAEBE7A9}">
  <ds:schemaRefs/>
</ds:datastoreItem>
</file>

<file path=customXml/itemProps26.xml><?xml version="1.0" encoding="utf-8"?>
<ds:datastoreItem xmlns:ds="http://schemas.openxmlformats.org/officeDocument/2006/customXml" ds:itemID="{6BA7B160-3F4F-4E13-95E3-07A89DD187B5}">
  <ds:schemaRefs/>
</ds:datastoreItem>
</file>

<file path=customXml/itemProps27.xml><?xml version="1.0" encoding="utf-8"?>
<ds:datastoreItem xmlns:ds="http://schemas.openxmlformats.org/officeDocument/2006/customXml" ds:itemID="{31C3DA6B-7090-4E15-A70B-7B3B61368181}">
  <ds:schemaRefs/>
</ds:datastoreItem>
</file>

<file path=customXml/itemProps28.xml><?xml version="1.0" encoding="utf-8"?>
<ds:datastoreItem xmlns:ds="http://schemas.openxmlformats.org/officeDocument/2006/customXml" ds:itemID="{6C330DD0-C73D-4C6F-875F-7FDFD57299F0}">
  <ds:schemaRefs/>
</ds:datastoreItem>
</file>

<file path=customXml/itemProps29.xml><?xml version="1.0" encoding="utf-8"?>
<ds:datastoreItem xmlns:ds="http://schemas.openxmlformats.org/officeDocument/2006/customXml" ds:itemID="{D294DB97-DE1C-434B-8EAA-AE0961573BE4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4CAA3C6C-85B4-4589-82F4-4F91CFC10192}">
  <ds:schemaRefs/>
</ds:datastoreItem>
</file>

<file path=customXml/itemProps31.xml><?xml version="1.0" encoding="utf-8"?>
<ds:datastoreItem xmlns:ds="http://schemas.openxmlformats.org/officeDocument/2006/customXml" ds:itemID="{D15AB409-0038-4B57-9B9A-A4B9FD03FF85}">
  <ds:schemaRefs/>
</ds:datastoreItem>
</file>

<file path=customXml/itemProps32.xml><?xml version="1.0" encoding="utf-8"?>
<ds:datastoreItem xmlns:ds="http://schemas.openxmlformats.org/officeDocument/2006/customXml" ds:itemID="{08DB4313-C2E8-43A7-9C24-64DF3DC43AEA}">
  <ds:schemaRefs/>
</ds:datastoreItem>
</file>

<file path=customXml/itemProps33.xml><?xml version="1.0" encoding="utf-8"?>
<ds:datastoreItem xmlns:ds="http://schemas.openxmlformats.org/officeDocument/2006/customXml" ds:itemID="{08BA49C1-04AA-4CE5-84B6-1108CEA2256C}">
  <ds:schemaRefs/>
</ds:datastoreItem>
</file>

<file path=customXml/itemProps34.xml><?xml version="1.0" encoding="utf-8"?>
<ds:datastoreItem xmlns:ds="http://schemas.openxmlformats.org/officeDocument/2006/customXml" ds:itemID="{28D28736-CEC7-41AB-AC3F-13245715E82C}">
  <ds:schemaRefs/>
</ds:datastoreItem>
</file>

<file path=customXml/itemProps35.xml><?xml version="1.0" encoding="utf-8"?>
<ds:datastoreItem xmlns:ds="http://schemas.openxmlformats.org/officeDocument/2006/customXml" ds:itemID="{D50FA16D-7CE1-4757-9668-58213E0C33E4}">
  <ds:schemaRefs/>
</ds:datastoreItem>
</file>

<file path=customXml/itemProps36.xml><?xml version="1.0" encoding="utf-8"?>
<ds:datastoreItem xmlns:ds="http://schemas.openxmlformats.org/officeDocument/2006/customXml" ds:itemID="{7E359C35-F820-4DCE-B3BA-046FE6937BE1}">
  <ds:schemaRefs/>
</ds:datastoreItem>
</file>

<file path=customXml/itemProps37.xml><?xml version="1.0" encoding="utf-8"?>
<ds:datastoreItem xmlns:ds="http://schemas.openxmlformats.org/officeDocument/2006/customXml" ds:itemID="{D759313F-FB07-4151-B6AB-EC8520F4D430}">
  <ds:schemaRefs/>
</ds:datastoreItem>
</file>

<file path=customXml/itemProps38.xml><?xml version="1.0" encoding="utf-8"?>
<ds:datastoreItem xmlns:ds="http://schemas.openxmlformats.org/officeDocument/2006/customXml" ds:itemID="{145B16D7-26BA-4CBF-9EBA-D7C761B24692}">
  <ds:schemaRefs/>
</ds:datastoreItem>
</file>

<file path=customXml/itemProps39.xml><?xml version="1.0" encoding="utf-8"?>
<ds:datastoreItem xmlns:ds="http://schemas.openxmlformats.org/officeDocument/2006/customXml" ds:itemID="{85121217-E296-4A70-BE15-B82B7E28B6C0}">
  <ds:schemaRefs/>
</ds:datastoreItem>
</file>

<file path=customXml/itemProps40.xml><?xml version="1.0" encoding="utf-8"?>
<ds:datastoreItem xmlns:ds="http://schemas.openxmlformats.org/officeDocument/2006/customXml" ds:itemID="{1DCF247F-D8A9-4A02-9ED8-CFBD20A0E3FF}">
  <ds:schemaRefs/>
</ds:datastoreItem>
</file>

<file path=customXml/itemProps41.xml><?xml version="1.0" encoding="utf-8"?>
<ds:datastoreItem xmlns:ds="http://schemas.openxmlformats.org/officeDocument/2006/customXml" ds:itemID="{E5C0C6B9-EBF4-495B-B3DF-9198A7BED94D}">
  <ds:schemaRefs/>
</ds:datastoreItem>
</file>

<file path=customXml/itemProps42.xml><?xml version="1.0" encoding="utf-8"?>
<ds:datastoreItem xmlns:ds="http://schemas.openxmlformats.org/officeDocument/2006/customXml" ds:itemID="{169A7EE2-C87D-4F9E-B29C-5572EA1BB52E}">
  <ds:schemaRefs/>
</ds:datastoreItem>
</file>

<file path=customXml/itemProps43.xml><?xml version="1.0" encoding="utf-8"?>
<ds:datastoreItem xmlns:ds="http://schemas.openxmlformats.org/officeDocument/2006/customXml" ds:itemID="{3CF4CD95-E573-4565-83EC-AD589465DB7A}">
  <ds:schemaRefs/>
</ds:datastoreItem>
</file>

<file path=customXml/itemProps44.xml><?xml version="1.0" encoding="utf-8"?>
<ds:datastoreItem xmlns:ds="http://schemas.openxmlformats.org/officeDocument/2006/customXml" ds:itemID="{7814A53E-EEE8-4D57-977F-70367877906B}">
  <ds:schemaRefs/>
</ds:datastoreItem>
</file>

<file path=customXml/itemProps45.xml><?xml version="1.0" encoding="utf-8"?>
<ds:datastoreItem xmlns:ds="http://schemas.openxmlformats.org/officeDocument/2006/customXml" ds:itemID="{A17BDF4B-A074-48B7-BE93-BC20C32E87D4}">
  <ds:schemaRefs/>
</ds:datastoreItem>
</file>

<file path=customXml/itemProps46.xml><?xml version="1.0" encoding="utf-8"?>
<ds:datastoreItem xmlns:ds="http://schemas.openxmlformats.org/officeDocument/2006/customXml" ds:itemID="{740F9504-80A5-4A01-9B7A-CA178E51B1E9}">
  <ds:schemaRefs/>
</ds:datastoreItem>
</file>

<file path=customXml/itemProps47.xml><?xml version="1.0" encoding="utf-8"?>
<ds:datastoreItem xmlns:ds="http://schemas.openxmlformats.org/officeDocument/2006/customXml" ds:itemID="{7CBDEAA6-DC3A-4A3F-A798-C57849A906A5}">
  <ds:schemaRefs/>
</ds:datastoreItem>
</file>

<file path=customXml/itemProps48.xml><?xml version="1.0" encoding="utf-8"?>
<ds:datastoreItem xmlns:ds="http://schemas.openxmlformats.org/officeDocument/2006/customXml" ds:itemID="{D6DC662C-7B7A-4B40-8158-E8CB688416EF}">
  <ds:schemaRefs/>
</ds:datastoreItem>
</file>

<file path=customXml/itemProps49.xml><?xml version="1.0" encoding="utf-8"?>
<ds:datastoreItem xmlns:ds="http://schemas.openxmlformats.org/officeDocument/2006/customXml" ds:itemID="{3E550BB4-0DDF-4495-858A-011E87F7086F}">
  <ds:schemaRefs/>
</ds:datastoreItem>
</file>

<file path=customXml/itemProps50.xml><?xml version="1.0" encoding="utf-8"?>
<ds:datastoreItem xmlns:ds="http://schemas.openxmlformats.org/officeDocument/2006/customXml" ds:itemID="{1ED396CA-73A3-4014-9F90-E1F7C9475765}">
  <ds:schemaRefs/>
</ds:datastoreItem>
</file>

<file path=customXml/itemProps51.xml><?xml version="1.0" encoding="utf-8"?>
<ds:datastoreItem xmlns:ds="http://schemas.openxmlformats.org/officeDocument/2006/customXml" ds:itemID="{ED19217D-E52A-4F79-AF5D-6602CB9D3D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Problems</vt:lpstr>
      <vt:lpstr>Visuals</vt:lpstr>
      <vt:lpstr>Final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Zampadiya</dc:creator>
  <cp:lastModifiedBy>Umesh Zampadiya</cp:lastModifiedBy>
  <dcterms:created xsi:type="dcterms:W3CDTF">2015-06-05T18:17:20Z</dcterms:created>
  <dcterms:modified xsi:type="dcterms:W3CDTF">2026-02-25T11:21:45Z</dcterms:modified>
</cp:coreProperties>
</file>